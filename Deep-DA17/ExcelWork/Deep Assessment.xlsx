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OneDrive\ドキュメント\My Shapes\Desktop\"/>
    </mc:Choice>
  </mc:AlternateContent>
  <xr:revisionPtr revIDLastSave="0" documentId="13_ncr:1_{CDE9EDBA-5343-43C0-9E59-F5708C6B3F87}" xr6:coauthVersionLast="47" xr6:coauthVersionMax="47" xr10:uidLastSave="{00000000-0000-0000-0000-000000000000}"/>
  <bookViews>
    <workbookView xWindow="-120" yWindow="-120" windowWidth="29040" windowHeight="15720" xr2:uid="{1A80B794-78B4-4D67-8E43-C034512DB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6" i="1" l="1"/>
  <c r="J119" i="1"/>
  <c r="H123" i="1"/>
  <c r="H122" i="1"/>
  <c r="H121" i="1"/>
  <c r="H120" i="1"/>
  <c r="H119" i="1"/>
  <c r="K110" i="1"/>
  <c r="I91" i="1"/>
  <c r="H114" i="1"/>
  <c r="H113" i="1"/>
  <c r="H112" i="1"/>
  <c r="H111" i="1"/>
  <c r="H110" i="1"/>
  <c r="H101" i="1"/>
  <c r="H102" i="1"/>
  <c r="H103" i="1"/>
  <c r="H104" i="1"/>
  <c r="H100" i="1"/>
  <c r="I87" i="1"/>
  <c r="I88" i="1"/>
  <c r="I89" i="1"/>
  <c r="I90" i="1"/>
  <c r="D64" i="1"/>
  <c r="D65" i="1"/>
  <c r="D66" i="1"/>
  <c r="D67" i="1"/>
  <c r="D68" i="1"/>
  <c r="D63" i="1"/>
  <c r="C47" i="1"/>
  <c r="C48" i="1"/>
  <c r="C49" i="1"/>
  <c r="C46" i="1"/>
  <c r="I4" i="1"/>
  <c r="I5" i="1"/>
  <c r="I6" i="1"/>
  <c r="I7" i="1"/>
  <c r="I8" i="1"/>
  <c r="I3" i="1"/>
</calcChain>
</file>

<file path=xl/sharedStrings.xml><?xml version="1.0" encoding="utf-8"?>
<sst xmlns="http://schemas.openxmlformats.org/spreadsheetml/2006/main" count="249" uniqueCount="65">
  <si>
    <t>1. Calculate Total Sales for each order (Quantity × Unit_Price).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</si>
  <si>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</si>
  <si>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</si>
  <si>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</si>
  <si>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</si>
  <si>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</si>
  <si>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</si>
  <si>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</si>
  <si>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</si>
  <si>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</si>
  <si>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</si>
  <si>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</si>
  <si>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</si>
  <si>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</si>
  <si>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</si>
  <si>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</si>
  <si>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</si>
  <si>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</si>
  <si>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Order_ID</t>
  </si>
  <si>
    <t>Region</t>
  </si>
  <si>
    <t>Salesperson</t>
  </si>
  <si>
    <t>Product</t>
  </si>
  <si>
    <t>Quantity</t>
  </si>
  <si>
    <t>Unit_Price</t>
  </si>
  <si>
    <t>Sales_Date</t>
  </si>
  <si>
    <t>Total Sales</t>
  </si>
  <si>
    <t>2. Calculate GST Amount using VLOOKUP from Product_Master.</t>
  </si>
  <si>
    <t>Category</t>
  </si>
  <si>
    <t>GST_%</t>
  </si>
  <si>
    <t>Electronics</t>
  </si>
  <si>
    <t>GST Amount</t>
  </si>
  <si>
    <t>3. Find Final Amount payable (Total Sales + GST).</t>
  </si>
  <si>
    <t>Final Payable Amount</t>
  </si>
  <si>
    <t>4. Find Grand Total of Final Amount.</t>
  </si>
  <si>
    <t>Final Amount</t>
  </si>
  <si>
    <t>5. Count total number of orders using COUNTA.</t>
  </si>
  <si>
    <t>6. Find Region-wise total sales using SUMIF.</t>
  </si>
  <si>
    <t>Region-wise Total Sales</t>
  </si>
  <si>
    <t xml:space="preserve">South </t>
  </si>
  <si>
    <t xml:space="preserve">East </t>
  </si>
  <si>
    <t>7. Use IF to classify Quantity as High (&gt;3) or Low (&lt;=3).</t>
  </si>
  <si>
    <t>8. Find the maximum and minimum Final Amount.</t>
  </si>
  <si>
    <t>Max Amt</t>
  </si>
  <si>
    <t>Min Amt</t>
  </si>
  <si>
    <t>9. Extract month name from Sales_Date.</t>
  </si>
  <si>
    <t>Month name</t>
  </si>
  <si>
    <t>10. Sort Sales_Data by Final Amount (Descending).</t>
  </si>
  <si>
    <t>12. Calculate average marks of each student.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</si>
  <si>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</si>
  <si>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</si>
  <si>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</si>
  <si>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</si>
  <si>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</si>
  <si>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</si>
  <si>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</si>
  <si>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</si>
  <si>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</si>
  <si>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</si>
  <si>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</si>
  <si>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Avg Marks</t>
  </si>
  <si>
    <t>13. Find the topper based on average marks.</t>
  </si>
  <si>
    <t>14. Count students with Attendance above 90%.</t>
  </si>
  <si>
    <t>Topper Student</t>
  </si>
  <si>
    <t>Student with above 90% Attendance</t>
  </si>
  <si>
    <t>15. Use IF to classify students as Eligible (Attendance &gt;= 85%).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</si>
</sst>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5FAA-148C-4B9F-8603-D8EB3A3409F2}">
  <dimension ref="A1:K125"/>
  <sheetViews>
    <sheetView tabSelected="1" topLeftCell="A70" workbookViewId="0">
      <selection activeCell="I87" sqref="I87"/>
    </sheetView>
  </sheetViews>
  <sheetFormatPr defaultRowHeight="15" x14ac:dyDescent="0.25"/>
  <cols>
    <col min="1" max="1" width="12" customWidth="1"/>
    <col min="3" max="3" width="13.42578125" customWidth="1"/>
    <col min="6" max="6" width="13.140625" customWidth="1"/>
    <col min="8" max="9" width="10.42578125" customWidth="1"/>
  </cols>
  <sheetData>
    <row r="1" spans="1:9" x14ac:dyDescent="0.25">
      <c r="A1" t="s">
        <v>0</v>
      </c>
    </row>
    <row r="2" spans="1:9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</row>
    <row r="3" spans="1:9" x14ac:dyDescent="0.25">
      <c r="A3">
        <v>301</v>
      </c>
      <c r="B3" t="s">
        <v>1</v>
      </c>
      <c r="C3" t="s">
        <v>2</v>
      </c>
      <c r="D3" t="s">
        <v>3</v>
      </c>
      <c r="E3">
        <v>2</v>
      </c>
      <c r="F3">
        <v>45000</v>
      </c>
      <c r="G3" t="s">
        <v>4</v>
      </c>
      <c r="I3">
        <f>E3*F3</f>
        <v>90000</v>
      </c>
    </row>
    <row r="4" spans="1:9" x14ac:dyDescent="0.25">
      <c r="A4">
        <v>302</v>
      </c>
      <c r="B4" t="s">
        <v>5</v>
      </c>
      <c r="C4" t="s">
        <v>6</v>
      </c>
      <c r="D4" t="s">
        <v>7</v>
      </c>
      <c r="E4">
        <v>5</v>
      </c>
      <c r="F4">
        <v>15000</v>
      </c>
      <c r="G4" t="s">
        <v>8</v>
      </c>
      <c r="I4">
        <f t="shared" ref="I4:I8" si="0">E4*F4</f>
        <v>75000</v>
      </c>
    </row>
    <row r="5" spans="1:9" x14ac:dyDescent="0.25">
      <c r="A5">
        <v>303</v>
      </c>
      <c r="B5" t="s">
        <v>9</v>
      </c>
      <c r="C5" t="s">
        <v>10</v>
      </c>
      <c r="D5" t="s">
        <v>11</v>
      </c>
      <c r="E5">
        <v>3</v>
      </c>
      <c r="F5">
        <v>18000</v>
      </c>
      <c r="G5" t="s">
        <v>12</v>
      </c>
      <c r="I5">
        <f t="shared" si="0"/>
        <v>54000</v>
      </c>
    </row>
    <row r="6" spans="1:9" x14ac:dyDescent="0.25">
      <c r="A6">
        <v>304</v>
      </c>
      <c r="B6" t="s">
        <v>13</v>
      </c>
      <c r="C6" t="s">
        <v>14</v>
      </c>
      <c r="D6" t="s">
        <v>3</v>
      </c>
      <c r="E6">
        <v>1</v>
      </c>
      <c r="F6">
        <v>45000</v>
      </c>
      <c r="G6" t="s">
        <v>15</v>
      </c>
      <c r="I6">
        <f t="shared" si="0"/>
        <v>45000</v>
      </c>
    </row>
    <row r="7" spans="1:9" x14ac:dyDescent="0.25">
      <c r="A7">
        <v>305</v>
      </c>
      <c r="B7" t="s">
        <v>1</v>
      </c>
      <c r="C7" t="s">
        <v>2</v>
      </c>
      <c r="D7" t="s">
        <v>7</v>
      </c>
      <c r="E7">
        <v>4</v>
      </c>
      <c r="F7">
        <v>15000</v>
      </c>
      <c r="G7" t="s">
        <v>16</v>
      </c>
      <c r="I7">
        <f t="shared" si="0"/>
        <v>60000</v>
      </c>
    </row>
    <row r="8" spans="1:9" x14ac:dyDescent="0.25">
      <c r="A8">
        <v>306</v>
      </c>
      <c r="B8" t="s">
        <v>5</v>
      </c>
      <c r="C8" t="s">
        <v>6</v>
      </c>
      <c r="D8" t="s">
        <v>3</v>
      </c>
      <c r="E8">
        <v>2</v>
      </c>
      <c r="F8">
        <v>45000</v>
      </c>
      <c r="G8" t="s">
        <v>17</v>
      </c>
      <c r="I8">
        <f t="shared" si="0"/>
        <v>90000</v>
      </c>
    </row>
    <row r="11" spans="1:9" x14ac:dyDescent="0.25">
      <c r="A11" t="s">
        <v>26</v>
      </c>
    </row>
    <row r="13" spans="1:9" x14ac:dyDescent="0.25">
      <c r="A13" t="s">
        <v>21</v>
      </c>
      <c r="B13" t="s">
        <v>27</v>
      </c>
      <c r="C13" t="s">
        <v>28</v>
      </c>
      <c r="D13" t="s">
        <v>30</v>
      </c>
    </row>
    <row r="14" spans="1:9" x14ac:dyDescent="0.25">
      <c r="A14" t="s">
        <v>3</v>
      </c>
      <c r="B14" t="s">
        <v>29</v>
      </c>
      <c r="C14">
        <v>18</v>
      </c>
    </row>
    <row r="15" spans="1:9" x14ac:dyDescent="0.25">
      <c r="A15" t="s">
        <v>7</v>
      </c>
      <c r="B15" t="s">
        <v>29</v>
      </c>
      <c r="C15">
        <v>12</v>
      </c>
    </row>
    <row r="16" spans="1:9" x14ac:dyDescent="0.25">
      <c r="A16" t="s">
        <v>11</v>
      </c>
      <c r="B16" t="s">
        <v>29</v>
      </c>
      <c r="C16">
        <v>12</v>
      </c>
    </row>
    <row r="18" spans="1:4" x14ac:dyDescent="0.25">
      <c r="A18" t="s">
        <v>31</v>
      </c>
    </row>
    <row r="20" spans="1:4" x14ac:dyDescent="0.25">
      <c r="A20" t="s">
        <v>21</v>
      </c>
      <c r="B20" t="s">
        <v>27</v>
      </c>
      <c r="C20" t="s">
        <v>28</v>
      </c>
      <c r="D20" t="s">
        <v>32</v>
      </c>
    </row>
    <row r="21" spans="1:4" x14ac:dyDescent="0.25">
      <c r="A21" t="s">
        <v>3</v>
      </c>
      <c r="B21" t="s">
        <v>29</v>
      </c>
      <c r="C21">
        <v>18</v>
      </c>
      <c r="D21" s="1"/>
    </row>
    <row r="22" spans="1:4" x14ac:dyDescent="0.25">
      <c r="A22" t="s">
        <v>7</v>
      </c>
      <c r="B22" t="s">
        <v>29</v>
      </c>
      <c r="C22">
        <v>12</v>
      </c>
    </row>
    <row r="23" spans="1:4" x14ac:dyDescent="0.25">
      <c r="A23" t="s">
        <v>11</v>
      </c>
      <c r="B23" t="s">
        <v>29</v>
      </c>
      <c r="C23">
        <v>12</v>
      </c>
    </row>
    <row r="25" spans="1:4" x14ac:dyDescent="0.25">
      <c r="A25" t="s">
        <v>33</v>
      </c>
    </row>
    <row r="27" spans="1:4" x14ac:dyDescent="0.25">
      <c r="A27" t="s">
        <v>21</v>
      </c>
      <c r="B27" t="s">
        <v>27</v>
      </c>
      <c r="C27" t="s">
        <v>28</v>
      </c>
      <c r="D27" t="s">
        <v>34</v>
      </c>
    </row>
    <row r="28" spans="1:4" x14ac:dyDescent="0.25">
      <c r="A28" t="s">
        <v>3</v>
      </c>
      <c r="B28" t="s">
        <v>29</v>
      </c>
      <c r="C28">
        <v>18</v>
      </c>
    </row>
    <row r="29" spans="1:4" x14ac:dyDescent="0.25">
      <c r="A29" t="s">
        <v>7</v>
      </c>
      <c r="B29" t="s">
        <v>29</v>
      </c>
      <c r="C29">
        <v>12</v>
      </c>
    </row>
    <row r="30" spans="1:4" x14ac:dyDescent="0.25">
      <c r="A30" t="s">
        <v>11</v>
      </c>
      <c r="B30" t="s">
        <v>29</v>
      </c>
      <c r="C30">
        <v>12</v>
      </c>
    </row>
    <row r="32" spans="1:4" x14ac:dyDescent="0.25">
      <c r="A32" t="s">
        <v>35</v>
      </c>
    </row>
    <row r="35" spans="1:7" x14ac:dyDescent="0.25">
      <c r="A35" t="s">
        <v>36</v>
      </c>
    </row>
    <row r="37" spans="1: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</row>
    <row r="38" spans="1:7" x14ac:dyDescent="0.25">
      <c r="A38">
        <v>301</v>
      </c>
      <c r="B38" t="s">
        <v>1</v>
      </c>
      <c r="C38" t="s">
        <v>2</v>
      </c>
      <c r="D38" t="s">
        <v>3</v>
      </c>
      <c r="E38">
        <v>2</v>
      </c>
      <c r="F38">
        <v>45000</v>
      </c>
      <c r="G38" t="s">
        <v>4</v>
      </c>
    </row>
    <row r="39" spans="1:7" x14ac:dyDescent="0.25">
      <c r="A39">
        <v>302</v>
      </c>
      <c r="B39" t="s">
        <v>5</v>
      </c>
      <c r="C39" t="s">
        <v>6</v>
      </c>
      <c r="D39" t="s">
        <v>7</v>
      </c>
      <c r="E39">
        <v>5</v>
      </c>
      <c r="F39">
        <v>15000</v>
      </c>
      <c r="G39" t="s">
        <v>8</v>
      </c>
    </row>
    <row r="40" spans="1:7" x14ac:dyDescent="0.25">
      <c r="A40">
        <v>303</v>
      </c>
      <c r="B40" t="s">
        <v>9</v>
      </c>
      <c r="C40" t="s">
        <v>10</v>
      </c>
      <c r="D40" t="s">
        <v>11</v>
      </c>
      <c r="E40">
        <v>3</v>
      </c>
      <c r="F40">
        <v>18000</v>
      </c>
      <c r="G40" t="s">
        <v>12</v>
      </c>
    </row>
    <row r="41" spans="1:7" x14ac:dyDescent="0.25">
      <c r="A41">
        <v>304</v>
      </c>
      <c r="B41" t="s">
        <v>13</v>
      </c>
      <c r="C41" t="s">
        <v>14</v>
      </c>
      <c r="D41" t="s">
        <v>3</v>
      </c>
      <c r="E41">
        <v>1</v>
      </c>
      <c r="F41">
        <v>45000</v>
      </c>
      <c r="G41" t="s">
        <v>15</v>
      </c>
    </row>
    <row r="42" spans="1:7" x14ac:dyDescent="0.25">
      <c r="A42">
        <v>305</v>
      </c>
      <c r="B42" t="s">
        <v>1</v>
      </c>
      <c r="C42" t="s">
        <v>2</v>
      </c>
      <c r="D42" t="s">
        <v>7</v>
      </c>
      <c r="E42">
        <v>4</v>
      </c>
      <c r="F42">
        <v>15000</v>
      </c>
      <c r="G42" t="s">
        <v>16</v>
      </c>
    </row>
    <row r="43" spans="1:7" x14ac:dyDescent="0.25">
      <c r="A43">
        <v>306</v>
      </c>
      <c r="B43" t="s">
        <v>5</v>
      </c>
      <c r="C43" t="s">
        <v>6</v>
      </c>
      <c r="D43" t="s">
        <v>3</v>
      </c>
      <c r="E43">
        <v>2</v>
      </c>
      <c r="F43">
        <v>45000</v>
      </c>
      <c r="G43" t="s">
        <v>17</v>
      </c>
    </row>
    <row r="45" spans="1:7" x14ac:dyDescent="0.25">
      <c r="B45" t="s">
        <v>37</v>
      </c>
    </row>
    <row r="46" spans="1:7" x14ac:dyDescent="0.25">
      <c r="B46" t="s">
        <v>1</v>
      </c>
      <c r="C46">
        <f>F38+F42</f>
        <v>60000</v>
      </c>
    </row>
    <row r="47" spans="1:7" x14ac:dyDescent="0.25">
      <c r="B47" t="s">
        <v>38</v>
      </c>
      <c r="C47">
        <f t="shared" ref="C47:C49" si="1">F39+F43</f>
        <v>60000</v>
      </c>
    </row>
    <row r="48" spans="1:7" x14ac:dyDescent="0.25">
      <c r="B48" t="s">
        <v>39</v>
      </c>
      <c r="C48">
        <f t="shared" si="1"/>
        <v>18000</v>
      </c>
    </row>
    <row r="49" spans="1:7" x14ac:dyDescent="0.25">
      <c r="B49" t="s">
        <v>13</v>
      </c>
      <c r="C49">
        <f t="shared" si="1"/>
        <v>45000</v>
      </c>
    </row>
    <row r="51" spans="1:7" x14ac:dyDescent="0.25">
      <c r="A51" t="s">
        <v>40</v>
      </c>
    </row>
    <row r="53" spans="1:7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</row>
    <row r="54" spans="1:7" x14ac:dyDescent="0.25">
      <c r="A54">
        <v>301</v>
      </c>
      <c r="B54" t="s">
        <v>1</v>
      </c>
      <c r="C54" t="s">
        <v>2</v>
      </c>
      <c r="D54" t="s">
        <v>3</v>
      </c>
      <c r="E54">
        <v>2</v>
      </c>
      <c r="F54">
        <v>45000</v>
      </c>
      <c r="G54" t="s">
        <v>4</v>
      </c>
    </row>
    <row r="55" spans="1:7" x14ac:dyDescent="0.25">
      <c r="A55">
        <v>302</v>
      </c>
      <c r="B55" t="s">
        <v>5</v>
      </c>
      <c r="C55" t="s">
        <v>6</v>
      </c>
      <c r="D55" t="s">
        <v>7</v>
      </c>
      <c r="E55">
        <v>5</v>
      </c>
      <c r="F55">
        <v>15000</v>
      </c>
      <c r="G55" t="s">
        <v>8</v>
      </c>
    </row>
    <row r="56" spans="1:7" x14ac:dyDescent="0.25">
      <c r="A56">
        <v>303</v>
      </c>
      <c r="B56" t="s">
        <v>9</v>
      </c>
      <c r="C56" t="s">
        <v>10</v>
      </c>
      <c r="D56" t="s">
        <v>11</v>
      </c>
      <c r="E56">
        <v>3</v>
      </c>
      <c r="F56">
        <v>18000</v>
      </c>
      <c r="G56" t="s">
        <v>12</v>
      </c>
    </row>
    <row r="57" spans="1:7" x14ac:dyDescent="0.25">
      <c r="A57">
        <v>304</v>
      </c>
      <c r="B57" t="s">
        <v>13</v>
      </c>
      <c r="C57" t="s">
        <v>14</v>
      </c>
      <c r="D57" t="s">
        <v>3</v>
      </c>
      <c r="E57">
        <v>1</v>
      </c>
      <c r="F57">
        <v>45000</v>
      </c>
      <c r="G57" t="s">
        <v>15</v>
      </c>
    </row>
    <row r="58" spans="1:7" x14ac:dyDescent="0.25">
      <c r="A58">
        <v>305</v>
      </c>
      <c r="B58" t="s">
        <v>1</v>
      </c>
      <c r="C58" t="s">
        <v>2</v>
      </c>
      <c r="D58" t="s">
        <v>7</v>
      </c>
      <c r="E58">
        <v>4</v>
      </c>
      <c r="F58">
        <v>15000</v>
      </c>
      <c r="G58" t="s">
        <v>16</v>
      </c>
    </row>
    <row r="59" spans="1:7" x14ac:dyDescent="0.25">
      <c r="A59">
        <v>306</v>
      </c>
      <c r="B59" t="s">
        <v>5</v>
      </c>
      <c r="C59" t="s">
        <v>6</v>
      </c>
      <c r="D59" t="s">
        <v>3</v>
      </c>
      <c r="E59">
        <v>2</v>
      </c>
      <c r="F59">
        <v>45000</v>
      </c>
      <c r="G59" t="s">
        <v>17</v>
      </c>
    </row>
    <row r="62" spans="1:7" x14ac:dyDescent="0.25">
      <c r="C62" t="s">
        <v>22</v>
      </c>
    </row>
    <row r="63" spans="1:7" x14ac:dyDescent="0.25">
      <c r="C63">
        <v>2</v>
      </c>
      <c r="D63" t="str">
        <f>IF(C63&gt;=3, "high", "low")</f>
        <v>low</v>
      </c>
    </row>
    <row r="64" spans="1:7" x14ac:dyDescent="0.25">
      <c r="C64">
        <v>5</v>
      </c>
      <c r="D64" t="str">
        <f t="shared" ref="D64:D68" si="2">IF(C64&gt;=3, "high", "low")</f>
        <v>high</v>
      </c>
    </row>
    <row r="65" spans="1:7" x14ac:dyDescent="0.25">
      <c r="C65">
        <v>3</v>
      </c>
      <c r="D65" t="str">
        <f t="shared" si="2"/>
        <v>high</v>
      </c>
    </row>
    <row r="66" spans="1:7" x14ac:dyDescent="0.25">
      <c r="C66">
        <v>1</v>
      </c>
      <c r="D66" t="str">
        <f t="shared" si="2"/>
        <v>low</v>
      </c>
    </row>
    <row r="67" spans="1:7" x14ac:dyDescent="0.25">
      <c r="C67">
        <v>4</v>
      </c>
      <c r="D67" t="str">
        <f t="shared" si="2"/>
        <v>high</v>
      </c>
    </row>
    <row r="68" spans="1:7" x14ac:dyDescent="0.25">
      <c r="C68">
        <v>2</v>
      </c>
      <c r="D68" t="str">
        <f t="shared" si="2"/>
        <v>low</v>
      </c>
    </row>
    <row r="70" spans="1:7" x14ac:dyDescent="0.25">
      <c r="A70" t="s">
        <v>41</v>
      </c>
    </row>
    <row r="72" spans="1: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</row>
    <row r="73" spans="1:7" x14ac:dyDescent="0.25">
      <c r="A73">
        <v>301</v>
      </c>
      <c r="B73" t="s">
        <v>1</v>
      </c>
      <c r="C73" t="s">
        <v>2</v>
      </c>
      <c r="D73" t="s">
        <v>3</v>
      </c>
      <c r="E73">
        <v>2</v>
      </c>
      <c r="F73">
        <v>45000</v>
      </c>
      <c r="G73" t="s">
        <v>4</v>
      </c>
    </row>
    <row r="74" spans="1:7" x14ac:dyDescent="0.25">
      <c r="A74">
        <v>302</v>
      </c>
      <c r="B74" t="s">
        <v>5</v>
      </c>
      <c r="C74" t="s">
        <v>6</v>
      </c>
      <c r="D74" t="s">
        <v>7</v>
      </c>
      <c r="E74">
        <v>5</v>
      </c>
      <c r="F74">
        <v>15000</v>
      </c>
      <c r="G74" t="s">
        <v>8</v>
      </c>
    </row>
    <row r="75" spans="1:7" x14ac:dyDescent="0.25">
      <c r="A75">
        <v>303</v>
      </c>
      <c r="B75" t="s">
        <v>9</v>
      </c>
      <c r="C75" t="s">
        <v>10</v>
      </c>
      <c r="D75" t="s">
        <v>11</v>
      </c>
      <c r="E75">
        <v>3</v>
      </c>
      <c r="F75">
        <v>18000</v>
      </c>
      <c r="G75" t="s">
        <v>12</v>
      </c>
    </row>
    <row r="76" spans="1:7" x14ac:dyDescent="0.25">
      <c r="A76">
        <v>304</v>
      </c>
      <c r="B76" t="s">
        <v>13</v>
      </c>
      <c r="C76" t="s">
        <v>14</v>
      </c>
      <c r="D76" t="s">
        <v>3</v>
      </c>
      <c r="E76">
        <v>1</v>
      </c>
      <c r="F76">
        <v>45000</v>
      </c>
      <c r="G76" t="s">
        <v>15</v>
      </c>
    </row>
    <row r="77" spans="1:7" x14ac:dyDescent="0.25">
      <c r="A77">
        <v>305</v>
      </c>
      <c r="B77" t="s">
        <v>1</v>
      </c>
      <c r="C77" t="s">
        <v>2</v>
      </c>
      <c r="D77" t="s">
        <v>7</v>
      </c>
      <c r="E77">
        <v>4</v>
      </c>
      <c r="F77">
        <v>15000</v>
      </c>
      <c r="G77" t="s">
        <v>16</v>
      </c>
    </row>
    <row r="78" spans="1:7" x14ac:dyDescent="0.25">
      <c r="A78">
        <v>306</v>
      </c>
      <c r="B78" t="s">
        <v>5</v>
      </c>
      <c r="C78" t="s">
        <v>6</v>
      </c>
      <c r="D78" t="s">
        <v>3</v>
      </c>
      <c r="E78">
        <v>2</v>
      </c>
      <c r="F78">
        <v>45000</v>
      </c>
      <c r="G78" t="s">
        <v>17</v>
      </c>
    </row>
    <row r="80" spans="1:7" x14ac:dyDescent="0.25">
      <c r="D80" t="s">
        <v>42</v>
      </c>
    </row>
    <row r="81" spans="1:9" x14ac:dyDescent="0.25">
      <c r="D81" t="s">
        <v>43</v>
      </c>
    </row>
    <row r="83" spans="1:9" x14ac:dyDescent="0.25">
      <c r="A83" t="s">
        <v>44</v>
      </c>
    </row>
    <row r="85" spans="1:9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I85" t="s">
        <v>45</v>
      </c>
    </row>
    <row r="86" spans="1:9" x14ac:dyDescent="0.25">
      <c r="A86">
        <v>301</v>
      </c>
      <c r="B86" t="s">
        <v>1</v>
      </c>
      <c r="C86" t="s">
        <v>2</v>
      </c>
      <c r="D86" t="s">
        <v>3</v>
      </c>
      <c r="E86">
        <v>2</v>
      </c>
      <c r="F86">
        <v>45000</v>
      </c>
      <c r="G86" t="s">
        <v>4</v>
      </c>
      <c r="I86" t="str">
        <f>TEXT(H86,"mmm")</f>
        <v>Jan</v>
      </c>
    </row>
    <row r="87" spans="1:9" x14ac:dyDescent="0.25">
      <c r="A87">
        <v>302</v>
      </c>
      <c r="B87" t="s">
        <v>5</v>
      </c>
      <c r="C87" t="s">
        <v>6</v>
      </c>
      <c r="D87" t="s">
        <v>7</v>
      </c>
      <c r="E87">
        <v>5</v>
      </c>
      <c r="F87">
        <v>15000</v>
      </c>
      <c r="G87" t="s">
        <v>8</v>
      </c>
      <c r="I87" t="str">
        <f t="shared" ref="I87:I91" si="3">TEXT(G87,"mmm")</f>
        <v>Jan</v>
      </c>
    </row>
    <row r="88" spans="1:9" x14ac:dyDescent="0.25">
      <c r="A88">
        <v>303</v>
      </c>
      <c r="B88" t="s">
        <v>9</v>
      </c>
      <c r="C88" t="s">
        <v>10</v>
      </c>
      <c r="D88" t="s">
        <v>11</v>
      </c>
      <c r="E88">
        <v>3</v>
      </c>
      <c r="F88">
        <v>18000</v>
      </c>
      <c r="G88" t="s">
        <v>12</v>
      </c>
      <c r="I88" t="str">
        <f t="shared" si="3"/>
        <v>Jan</v>
      </c>
    </row>
    <row r="89" spans="1:9" x14ac:dyDescent="0.25">
      <c r="A89">
        <v>304</v>
      </c>
      <c r="B89" t="s">
        <v>13</v>
      </c>
      <c r="C89" t="s">
        <v>14</v>
      </c>
      <c r="D89" t="s">
        <v>3</v>
      </c>
      <c r="E89">
        <v>1</v>
      </c>
      <c r="F89">
        <v>45000</v>
      </c>
      <c r="G89" t="s">
        <v>15</v>
      </c>
      <c r="I89" t="str">
        <f t="shared" si="3"/>
        <v>Jan</v>
      </c>
    </row>
    <row r="90" spans="1:9" x14ac:dyDescent="0.25">
      <c r="A90">
        <v>305</v>
      </c>
      <c r="B90" t="s">
        <v>1</v>
      </c>
      <c r="C90" t="s">
        <v>2</v>
      </c>
      <c r="D90" t="s">
        <v>7</v>
      </c>
      <c r="E90">
        <v>4</v>
      </c>
      <c r="F90">
        <v>15000</v>
      </c>
      <c r="G90" t="s">
        <v>16</v>
      </c>
      <c r="I90" t="str">
        <f t="shared" si="3"/>
        <v>Jan</v>
      </c>
    </row>
    <row r="91" spans="1:9" x14ac:dyDescent="0.25">
      <c r="A91">
        <v>306</v>
      </c>
      <c r="B91" t="s">
        <v>5</v>
      </c>
      <c r="C91" t="s">
        <v>6</v>
      </c>
      <c r="D91" t="s">
        <v>3</v>
      </c>
      <c r="E91">
        <v>2</v>
      </c>
      <c r="F91">
        <v>45000</v>
      </c>
      <c r="G91" t="s">
        <v>17</v>
      </c>
      <c r="I91" t="str">
        <f t="shared" si="3"/>
        <v>Jan</v>
      </c>
    </row>
    <row r="93" spans="1:9" x14ac:dyDescent="0.25">
      <c r="A93" t="s">
        <v>46</v>
      </c>
    </row>
    <row r="97" spans="1:11" x14ac:dyDescent="0.25">
      <c r="A97" t="s">
        <v>47</v>
      </c>
    </row>
    <row r="99" spans="1:11" x14ac:dyDescent="0.25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H99" t="s">
        <v>59</v>
      </c>
    </row>
    <row r="100" spans="1:11" x14ac:dyDescent="0.25">
      <c r="A100">
        <v>1</v>
      </c>
      <c r="B100" t="s">
        <v>54</v>
      </c>
      <c r="C100">
        <v>78</v>
      </c>
      <c r="D100">
        <v>82</v>
      </c>
      <c r="E100">
        <v>85</v>
      </c>
      <c r="F100">
        <v>92</v>
      </c>
      <c r="H100">
        <f>AVERAGE(C100,D100,E100)</f>
        <v>81.666666666666671</v>
      </c>
    </row>
    <row r="101" spans="1:11" x14ac:dyDescent="0.25">
      <c r="A101">
        <v>2</v>
      </c>
      <c r="B101" t="s">
        <v>55</v>
      </c>
      <c r="C101">
        <v>88</v>
      </c>
      <c r="D101">
        <v>91</v>
      </c>
      <c r="E101">
        <v>90</v>
      </c>
      <c r="F101">
        <v>96</v>
      </c>
      <c r="H101">
        <f t="shared" ref="H101:H104" si="4">AVERAGE(C101,D101,E101)</f>
        <v>89.666666666666671</v>
      </c>
    </row>
    <row r="102" spans="1:11" x14ac:dyDescent="0.25">
      <c r="A102">
        <v>3</v>
      </c>
      <c r="B102" t="s">
        <v>56</v>
      </c>
      <c r="C102">
        <v>65</v>
      </c>
      <c r="D102">
        <v>70</v>
      </c>
      <c r="E102">
        <v>72</v>
      </c>
      <c r="F102">
        <v>85</v>
      </c>
      <c r="H102">
        <f t="shared" si="4"/>
        <v>69</v>
      </c>
    </row>
    <row r="103" spans="1:11" x14ac:dyDescent="0.25">
      <c r="A103">
        <v>4</v>
      </c>
      <c r="B103" t="s">
        <v>57</v>
      </c>
      <c r="C103">
        <v>92</v>
      </c>
      <c r="D103">
        <v>89</v>
      </c>
      <c r="E103">
        <v>94</v>
      </c>
      <c r="F103">
        <v>98</v>
      </c>
      <c r="H103">
        <f t="shared" si="4"/>
        <v>91.666666666666671</v>
      </c>
    </row>
    <row r="104" spans="1:11" x14ac:dyDescent="0.25">
      <c r="A104">
        <v>5</v>
      </c>
      <c r="B104" t="s">
        <v>58</v>
      </c>
      <c r="C104">
        <v>55</v>
      </c>
      <c r="D104">
        <v>60</v>
      </c>
      <c r="E104">
        <v>58</v>
      </c>
      <c r="F104">
        <v>80</v>
      </c>
      <c r="H104">
        <f t="shared" si="4"/>
        <v>57.666666666666664</v>
      </c>
    </row>
    <row r="107" spans="1:11" x14ac:dyDescent="0.25">
      <c r="A107" t="s">
        <v>60</v>
      </c>
    </row>
    <row r="109" spans="1:11" x14ac:dyDescent="0.25">
      <c r="A109" t="s">
        <v>48</v>
      </c>
      <c r="B109" t="s">
        <v>49</v>
      </c>
      <c r="C109" t="s">
        <v>50</v>
      </c>
      <c r="D109" t="s">
        <v>51</v>
      </c>
      <c r="E109" t="s">
        <v>52</v>
      </c>
      <c r="F109" t="s">
        <v>53</v>
      </c>
      <c r="H109" t="s">
        <v>59</v>
      </c>
      <c r="J109" t="s">
        <v>62</v>
      </c>
    </row>
    <row r="110" spans="1:11" x14ac:dyDescent="0.25">
      <c r="A110">
        <v>1</v>
      </c>
      <c r="B110" t="s">
        <v>54</v>
      </c>
      <c r="C110">
        <v>78</v>
      </c>
      <c r="D110">
        <v>82</v>
      </c>
      <c r="E110">
        <v>85</v>
      </c>
      <c r="F110">
        <v>92</v>
      </c>
      <c r="H110">
        <f>AVERAGE(C110,D110,E110)</f>
        <v>81.666666666666671</v>
      </c>
      <c r="J110" t="s">
        <v>57</v>
      </c>
      <c r="K110">
        <f>MAX(H110:H114)</f>
        <v>91.666666666666671</v>
      </c>
    </row>
    <row r="111" spans="1:11" x14ac:dyDescent="0.25">
      <c r="A111">
        <v>2</v>
      </c>
      <c r="B111" t="s">
        <v>55</v>
      </c>
      <c r="C111">
        <v>88</v>
      </c>
      <c r="D111">
        <v>91</v>
      </c>
      <c r="E111">
        <v>90</v>
      </c>
      <c r="F111">
        <v>96</v>
      </c>
      <c r="H111">
        <f t="shared" ref="H111:H114" si="5">AVERAGE(C111,D111,E111)</f>
        <v>89.666666666666671</v>
      </c>
    </row>
    <row r="112" spans="1:11" x14ac:dyDescent="0.25">
      <c r="A112">
        <v>3</v>
      </c>
      <c r="B112" t="s">
        <v>56</v>
      </c>
      <c r="C112">
        <v>65</v>
      </c>
      <c r="D112">
        <v>70</v>
      </c>
      <c r="E112">
        <v>72</v>
      </c>
      <c r="F112">
        <v>85</v>
      </c>
      <c r="H112">
        <f t="shared" si="5"/>
        <v>69</v>
      </c>
    </row>
    <row r="113" spans="1:11" x14ac:dyDescent="0.25">
      <c r="A113">
        <v>4</v>
      </c>
      <c r="B113" t="s">
        <v>57</v>
      </c>
      <c r="C113">
        <v>92</v>
      </c>
      <c r="D113">
        <v>89</v>
      </c>
      <c r="E113">
        <v>94</v>
      </c>
      <c r="F113">
        <v>98</v>
      </c>
      <c r="H113">
        <f t="shared" si="5"/>
        <v>91.666666666666671</v>
      </c>
    </row>
    <row r="114" spans="1:11" x14ac:dyDescent="0.25">
      <c r="A114">
        <v>5</v>
      </c>
      <c r="B114" t="s">
        <v>58</v>
      </c>
      <c r="C114">
        <v>55</v>
      </c>
      <c r="D114">
        <v>60</v>
      </c>
      <c r="E114">
        <v>58</v>
      </c>
      <c r="F114">
        <v>80</v>
      </c>
      <c r="H114">
        <f t="shared" si="5"/>
        <v>57.666666666666664</v>
      </c>
    </row>
    <row r="116" spans="1:11" x14ac:dyDescent="0.25">
      <c r="A116" t="s">
        <v>61</v>
      </c>
    </row>
    <row r="118" spans="1:11" x14ac:dyDescent="0.25">
      <c r="A118" t="s">
        <v>48</v>
      </c>
      <c r="B118" t="s">
        <v>49</v>
      </c>
      <c r="C118" t="s">
        <v>50</v>
      </c>
      <c r="D118" t="s">
        <v>51</v>
      </c>
      <c r="E118" t="s">
        <v>52</v>
      </c>
      <c r="F118" t="s">
        <v>53</v>
      </c>
      <c r="H118" t="s">
        <v>59</v>
      </c>
      <c r="J118" t="s">
        <v>63</v>
      </c>
    </row>
    <row r="119" spans="1:11" x14ac:dyDescent="0.25">
      <c r="A119">
        <v>1</v>
      </c>
      <c r="B119" t="s">
        <v>54</v>
      </c>
      <c r="C119">
        <v>78</v>
      </c>
      <c r="D119">
        <v>82</v>
      </c>
      <c r="E119">
        <v>85</v>
      </c>
      <c r="F119">
        <v>92</v>
      </c>
      <c r="H119">
        <f>AVERAGE(C119,D119,E119)</f>
        <v>81.666666666666671</v>
      </c>
      <c r="J119">
        <f>COUNTIF(H119:H123,"&gt;90")</f>
        <v>1</v>
      </c>
      <c r="K119" t="s">
        <v>57</v>
      </c>
    </row>
    <row r="120" spans="1:11" x14ac:dyDescent="0.25">
      <c r="A120">
        <v>2</v>
      </c>
      <c r="B120" t="s">
        <v>55</v>
      </c>
      <c r="C120">
        <v>88</v>
      </c>
      <c r="D120">
        <v>91</v>
      </c>
      <c r="E120">
        <v>90</v>
      </c>
      <c r="F120">
        <v>96</v>
      </c>
      <c r="H120">
        <f t="shared" ref="H120:H123" si="6">AVERAGE(C120,D120,E120)</f>
        <v>89.666666666666671</v>
      </c>
    </row>
    <row r="121" spans="1:11" x14ac:dyDescent="0.25">
      <c r="A121">
        <v>3</v>
      </c>
      <c r="B121" t="s">
        <v>56</v>
      </c>
      <c r="C121">
        <v>65</v>
      </c>
      <c r="D121">
        <v>70</v>
      </c>
      <c r="E121">
        <v>72</v>
      </c>
      <c r="F121">
        <v>85</v>
      </c>
      <c r="H121">
        <f t="shared" si="6"/>
        <v>69</v>
      </c>
    </row>
    <row r="122" spans="1:11" x14ac:dyDescent="0.25">
      <c r="A122">
        <v>4</v>
      </c>
      <c r="B122" t="s">
        <v>57</v>
      </c>
      <c r="C122">
        <v>92</v>
      </c>
      <c r="D122">
        <v>89</v>
      </c>
      <c r="E122">
        <v>94</v>
      </c>
      <c r="F122">
        <v>98</v>
      </c>
      <c r="H122">
        <f t="shared" si="6"/>
        <v>91.666666666666671</v>
      </c>
    </row>
    <row r="123" spans="1:11" x14ac:dyDescent="0.25">
      <c r="A123">
        <v>5</v>
      </c>
      <c r="B123" t="s">
        <v>58</v>
      </c>
      <c r="C123">
        <v>55</v>
      </c>
      <c r="D123">
        <v>60</v>
      </c>
      <c r="E123">
        <v>58</v>
      </c>
      <c r="F123">
        <v>80</v>
      </c>
      <c r="H123">
        <f t="shared" si="6"/>
        <v>57.666666666666664</v>
      </c>
    </row>
    <row r="125" spans="1:11" x14ac:dyDescent="0.25">
      <c r="A1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2026-07-07T08:57:02Z</dcterms:created>
  <dcterms:modified xsi:type="dcterms:W3CDTF">2026-07-07T10:16:13Z</dcterms:modified>
</cp:coreProperties>
</file>