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ibrary2\Desktop\"/>
    </mc:Choice>
  </mc:AlternateContent>
  <xr:revisionPtr revIDLastSave="0" documentId="13_ncr:1_{D3AAFF97-CF78-4851-BEBD-14BBC50C3B50}" xr6:coauthVersionLast="47" xr6:coauthVersionMax="47" xr10:uidLastSave="{00000000-0000-0000-0000-000000000000}"/>
  <bookViews>
    <workbookView xWindow="-120" yWindow="-120" windowWidth="21840" windowHeight="13020" xr2:uid="{1A80B794-78B4-4D67-8E43-C034512DB175}"/>
  </bookViews>
  <sheets>
    <sheet name="Sheet1" sheetId="1" r:id="rId1"/>
  </sheets>
  <definedNames>
    <definedName name="_xlnm._FilterDatabase" localSheetId="0" hidden="1">Sheet1!$A$223:$B$229</definedName>
  </definedNames>
  <calcPr calcId="191029"/>
  <pivotCaches>
    <pivotCache cacheId="13" r:id="rId2"/>
    <pivotCache cacheId="1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3" i="1"/>
  <c r="D22" i="1"/>
  <c r="D23" i="1"/>
  <c r="D21" i="1"/>
  <c r="D15" i="1"/>
  <c r="D16" i="1"/>
  <c r="D14" i="1"/>
  <c r="K4" i="1"/>
  <c r="K5" i="1"/>
  <c r="K6" i="1"/>
  <c r="K7" i="1"/>
  <c r="K8" i="1"/>
  <c r="L8" i="1" s="1"/>
  <c r="L9" i="1" s="1"/>
  <c r="K3" i="1"/>
  <c r="I264" i="1"/>
  <c r="I263" i="1"/>
  <c r="I262" i="1"/>
  <c r="I261" i="1"/>
  <c r="I260" i="1"/>
  <c r="I259" i="1"/>
  <c r="C46" i="1"/>
  <c r="B238" i="1" a="1"/>
  <c r="B238" i="1" s="1"/>
  <c r="B234" i="1"/>
  <c r="A210" i="1"/>
  <c r="A206" i="1"/>
  <c r="A201" i="1"/>
  <c r="A197" i="1"/>
  <c r="H100" i="1"/>
  <c r="H101" i="1"/>
  <c r="H102" i="1"/>
  <c r="H103" i="1"/>
  <c r="H99" i="1"/>
  <c r="I129" i="1"/>
  <c r="I130" i="1"/>
  <c r="I131" i="1"/>
  <c r="I132" i="1"/>
  <c r="I128" i="1"/>
  <c r="H132" i="1"/>
  <c r="H131" i="1"/>
  <c r="H130" i="1"/>
  <c r="H129" i="1"/>
  <c r="H128" i="1"/>
  <c r="E81" i="1"/>
  <c r="E80" i="1"/>
  <c r="H27" i="1"/>
  <c r="I86" i="1"/>
  <c r="J119" i="1"/>
  <c r="H123" i="1"/>
  <c r="H122" i="1"/>
  <c r="H121" i="1"/>
  <c r="H120" i="1"/>
  <c r="H119" i="1"/>
  <c r="K110" i="1"/>
  <c r="I91" i="1"/>
  <c r="H114" i="1"/>
  <c r="H113" i="1"/>
  <c r="H112" i="1"/>
  <c r="H111" i="1"/>
  <c r="H110" i="1"/>
  <c r="I87" i="1"/>
  <c r="I88" i="1"/>
  <c r="I89" i="1"/>
  <c r="I90" i="1"/>
  <c r="D64" i="1"/>
  <c r="D65" i="1"/>
  <c r="D66" i="1"/>
  <c r="D67" i="1"/>
  <c r="D68" i="1"/>
  <c r="D63" i="1"/>
  <c r="C47" i="1"/>
  <c r="C48" i="1"/>
  <c r="C49" i="1"/>
  <c r="I4" i="1"/>
  <c r="I5" i="1"/>
  <c r="I6" i="1"/>
  <c r="I7" i="1"/>
  <c r="I8" i="1"/>
  <c r="I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<sst xmlns="http://schemas.openxmlformats.org/spreadsheetml/2006/main" count="385" uniqueCount="92">
  <si>
    <t>1. Calculate Total Sales for each order (Quantity × Unit_Price).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</si>
  <si>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</si>
  <si>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</si>
  <si>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</si>
  <si>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</si>
  <si>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</si>
  <si>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</si>
  <si>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</si>
  <si>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</si>
  <si>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</si>
  <si>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</si>
  <si>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</si>
  <si>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</si>
  <si>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</si>
  <si>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</si>
  <si>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</si>
  <si>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</si>
  <si>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</si>
  <si>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Order_ID</t>
  </si>
  <si>
    <t>Region</t>
  </si>
  <si>
    <t>Salesperson</t>
  </si>
  <si>
    <t>Product</t>
  </si>
  <si>
    <t>Quantity</t>
  </si>
  <si>
    <t>Unit_Price</t>
  </si>
  <si>
    <t>Sales_Date</t>
  </si>
  <si>
    <t>Total Sales</t>
  </si>
  <si>
    <t>2. Calculate GST Amount using VLOOKUP from Product_Master.</t>
  </si>
  <si>
    <t>Category</t>
  </si>
  <si>
    <t>GST_%</t>
  </si>
  <si>
    <t>Electronics</t>
  </si>
  <si>
    <t>GST Amount</t>
  </si>
  <si>
    <t>3. Find Final Amount payable (Total Sales + GST).</t>
  </si>
  <si>
    <t>Final Payable Amount</t>
  </si>
  <si>
    <t>4. Find Grand Total of Final Amount.</t>
  </si>
  <si>
    <t>Final Amount</t>
  </si>
  <si>
    <t>5. Count total number of orders using COUNTA.</t>
  </si>
  <si>
    <t>6. Find Region-wise total sales using SUMIF.</t>
  </si>
  <si>
    <t>Region-wise Total Sales</t>
  </si>
  <si>
    <t xml:space="preserve">South </t>
  </si>
  <si>
    <t xml:space="preserve">East </t>
  </si>
  <si>
    <t>7. Use IF to classify Quantity as High (&gt;3) or Low (&lt;=3).</t>
  </si>
  <si>
    <t>8. Find the maximum and minimum Final Amount.</t>
  </si>
  <si>
    <t>Max Amt</t>
  </si>
  <si>
    <t>Min Amt</t>
  </si>
  <si>
    <t>9. Extract month name from Sales_Date.</t>
  </si>
  <si>
    <t>Month name</t>
  </si>
  <si>
    <t>10. Sort Sales_Data by Final Amount (Descending).</t>
  </si>
  <si>
    <t>12. Calculate average marks of each student.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</si>
  <si>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</si>
  <si>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</si>
  <si>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</si>
  <si>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</si>
  <si>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</si>
  <si>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</si>
  <si>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</si>
  <si>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</si>
  <si>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</si>
  <si>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</si>
  <si>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</si>
  <si>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Avg Marks</t>
  </si>
  <si>
    <t>13. Find the topper based on average marks.</t>
  </si>
  <si>
    <t>14. Count students with Attendance above 90%.</t>
  </si>
  <si>
    <t>Topper Student</t>
  </si>
  <si>
    <t>Student with above 90% Attendance</t>
  </si>
  <si>
    <t>15. Use IF to classify students as Eligible (Attendance &gt;= 85%).</t>
  </si>
  <si>
    <t>Total orders</t>
  </si>
  <si>
    <t>Elgibilty</t>
  </si>
  <si>
    <t>16. Create a Pivot Table showing Product-wise Total Sales.</t>
  </si>
  <si>
    <t>Row Labels</t>
  </si>
  <si>
    <t>Grand Total</t>
  </si>
  <si>
    <t>Sum of Total Sales</t>
  </si>
  <si>
    <t>17. Create a Pivot Table showing Region-wise Total Sales.</t>
  </si>
  <si>
    <t>18. Insert a Pivot Chart for Product-wise Sales.</t>
  </si>
  <si>
    <t>19. Create a Bar Chart for Student Excel marks.</t>
  </si>
  <si>
    <t>Sum of Excel</t>
  </si>
  <si>
    <t>Sum of Maths</t>
  </si>
  <si>
    <t>Sum of Statistics</t>
  </si>
  <si>
    <t>20. Find Median of Statistics marks.</t>
  </si>
  <si>
    <t>Median of Staticts</t>
  </si>
  <si>
    <t>21. Find Standard Deviation of Excel marks.</t>
  </si>
  <si>
    <t>Standard Deviation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</si>
  <si>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</si>
  <si>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</si>
  <si>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</si>
  <si>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</si>
  <si>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</si>
  <si>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</si>
  <si>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</si>
  <si>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</si>
  <si>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</si>
  <si>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GST%</t>
  </si>
  <si>
    <t>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</si>
</sst>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1" applyFont="1"/>
  </cellXfs>
  <cellStyles count="2">
    <cellStyle name="Normal" xfId="0" builtinId="0"/>
    <cellStyle name="Per 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2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Assessment.xlsx]Sheet1!PivotTable4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wise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Sheet1!$B$142:$B$145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Sheet1!$C$142:$C$145</c:f>
              <c:numCache>
                <c:formatCode>General</c:formatCode>
                <c:ptCount val="3"/>
                <c:pt idx="0">
                  <c:v>225000</c:v>
                </c:pt>
                <c:pt idx="1">
                  <c:v>135000</c:v>
                </c:pt>
                <c:pt idx="2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E-4E62-BFAB-B75279780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75057856"/>
        <c:axId val="1186890000"/>
      </c:barChart>
      <c:catAx>
        <c:axId val="1275057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890000"/>
        <c:crosses val="autoZero"/>
        <c:auto val="1"/>
        <c:lblAlgn val="ctr"/>
        <c:lblOffset val="100"/>
        <c:noMultiLvlLbl val="0"/>
      </c:catAx>
      <c:valAx>
        <c:axId val="118689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05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Assessment.xlsx]Sheet1!PivotTable7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Sheet1!$B$171</c:f>
              <c:strCache>
                <c:ptCount val="1"/>
                <c:pt idx="0">
                  <c:v>Sum of Excel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Sheet1!$A$172:$A$177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Sheet1!$B$172:$B$177</c:f>
              <c:numCache>
                <c:formatCode>General</c:formatCode>
                <c:ptCount val="5"/>
                <c:pt idx="0">
                  <c:v>72</c:v>
                </c:pt>
                <c:pt idx="1">
                  <c:v>94</c:v>
                </c:pt>
                <c:pt idx="2">
                  <c:v>85</c:v>
                </c:pt>
                <c:pt idx="3">
                  <c:v>90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C3-4755-BE2E-4D500C720100}"/>
            </c:ext>
          </c:extLst>
        </c:ser>
        <c:ser>
          <c:idx val="1"/>
          <c:order val="1"/>
          <c:tx>
            <c:strRef>
              <c:f>Sheet1!$C$171</c:f>
              <c:strCache>
                <c:ptCount val="1"/>
                <c:pt idx="0">
                  <c:v>Sum of 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Sheet1!$A$172:$A$177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Sheet1!$C$172:$C$177</c:f>
              <c:numCache>
                <c:formatCode>General</c:formatCode>
                <c:ptCount val="5"/>
                <c:pt idx="0">
                  <c:v>65</c:v>
                </c:pt>
                <c:pt idx="1">
                  <c:v>92</c:v>
                </c:pt>
                <c:pt idx="2">
                  <c:v>78</c:v>
                </c:pt>
                <c:pt idx="3">
                  <c:v>88</c:v>
                </c:pt>
                <c:pt idx="4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C3-4755-BE2E-4D500C720100}"/>
            </c:ext>
          </c:extLst>
        </c:ser>
        <c:ser>
          <c:idx val="2"/>
          <c:order val="2"/>
          <c:tx>
            <c:strRef>
              <c:f>Sheet1!$D$171</c:f>
              <c:strCache>
                <c:ptCount val="1"/>
                <c:pt idx="0">
                  <c:v>Sum of Statistics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Sheet1!$A$172:$A$177</c:f>
              <c:strCache>
                <c:ptCount val="5"/>
                <c:pt idx="0">
                  <c:v>Arjun</c:v>
                </c:pt>
                <c:pt idx="1">
                  <c:v>Pooja</c:v>
                </c:pt>
                <c:pt idx="2">
                  <c:v>Rahul</c:v>
                </c:pt>
                <c:pt idx="3">
                  <c:v>Sneha</c:v>
                </c:pt>
                <c:pt idx="4">
                  <c:v>Vikas</c:v>
                </c:pt>
              </c:strCache>
            </c:strRef>
          </c:cat>
          <c:val>
            <c:numRef>
              <c:f>Sheet1!$D$172:$D$177</c:f>
              <c:numCache>
                <c:formatCode>General</c:formatCode>
                <c:ptCount val="5"/>
                <c:pt idx="0">
                  <c:v>70</c:v>
                </c:pt>
                <c:pt idx="1">
                  <c:v>89</c:v>
                </c:pt>
                <c:pt idx="2">
                  <c:v>82</c:v>
                </c:pt>
                <c:pt idx="3">
                  <c:v>91</c:v>
                </c:pt>
                <c:pt idx="4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C3-4755-BE2E-4D500C720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540512"/>
        <c:axId val="1186909200"/>
      </c:barChart>
      <c:catAx>
        <c:axId val="1288540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909200"/>
        <c:crosses val="autoZero"/>
        <c:auto val="1"/>
        <c:lblAlgn val="ctr"/>
        <c:lblOffset val="100"/>
        <c:noMultiLvlLbl val="0"/>
      </c:catAx>
      <c:valAx>
        <c:axId val="118690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54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156</xdr:row>
      <xdr:rowOff>128587</xdr:rowOff>
    </xdr:from>
    <xdr:to>
      <xdr:col>4</xdr:col>
      <xdr:colOff>247650</xdr:colOff>
      <xdr:row>166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A216C7-3063-E643-8999-CC2C8CC9E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177</xdr:row>
      <xdr:rowOff>119062</xdr:rowOff>
    </xdr:from>
    <xdr:to>
      <xdr:col>4</xdr:col>
      <xdr:colOff>542925</xdr:colOff>
      <xdr:row>192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11ECBA-1933-BEE4-7346-5889D0457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brary2" refreshedDate="46210.686201851851" createdVersion="8" refreshedVersion="8" minRefreshableVersion="3" recordCount="6" xr:uid="{9D148D38-5F22-4868-9CB5-3AF5E3C49BDA}">
  <cacheSource type="worksheet">
    <worksheetSource ref="A2:I8" sheet="Sheet1"/>
  </cacheSource>
  <cacheFields count="9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0">
      <sharedItems/>
    </cacheField>
    <cacheField name="Field8" caption="Field8" numFmtId="0">
      <sharedItems containsNonDate="0" containsString="0" containsBlank="1"/>
    </cacheField>
    <cacheField name="Total Sales" numFmtId="0">
      <sharedItems containsSemiMixedTypes="0" containsString="0" containsNumber="1" containsInteger="1" minValue="45000" maxValue="9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brary2" refreshedDate="46210.689422106479" createdVersion="8" refreshedVersion="8" minRefreshableVersion="3" recordCount="5" xr:uid="{6B23AB15-9E17-46EA-8E73-AA4BC1A9D482}">
  <cacheSource type="worksheet">
    <worksheetSource ref="A127:F132" sheet="Sheet1"/>
  </cacheSource>
  <cacheFields count="6">
    <cacheField name="Student_ID" numFmtId="0">
      <sharedItems containsSemiMixedTypes="0" containsString="0" containsNumber="1" containsInteger="1" minValue="1" maxValue="5"/>
    </cacheField>
    <cacheField name="Name" numFmtId="0">
      <sharedItems count="5">
        <s v="Rahul"/>
        <s v="Sneha"/>
        <s v="Arjun"/>
        <s v="Pooja"/>
        <s v="Vikas"/>
      </sharedItems>
    </cacheField>
    <cacheField name="Maths" numFmtId="0">
      <sharedItems containsSemiMixedTypes="0" containsString="0" containsNumber="1" containsInteger="1" minValue="55" maxValue="92"/>
    </cacheField>
    <cacheField name="Statistics" numFmtId="0">
      <sharedItems containsSemiMixedTypes="0" containsString="0" containsNumber="1" containsInteger="1" minValue="60" maxValue="91"/>
    </cacheField>
    <cacheField name="Excel" numFmtId="0">
      <sharedItems containsSemiMixedTypes="0" containsString="0" containsNumber="1" containsInteger="1" minValue="58" maxValue="94"/>
    </cacheField>
    <cacheField name="Attendance_%" numFmtId="0">
      <sharedItems containsSemiMixedTypes="0" containsString="0" containsNumber="1" containsInteger="1" minValue="80" maxValue="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s v="05-01-2025"/>
    <m/>
    <n v="90000"/>
  </r>
  <r>
    <n v="302"/>
    <x v="1"/>
    <s v="Riya"/>
    <x v="1"/>
    <n v="5"/>
    <n v="15000"/>
    <s v="07-01-2025"/>
    <m/>
    <n v="75000"/>
  </r>
  <r>
    <n v="303"/>
    <x v="2"/>
    <s v="Kunal"/>
    <x v="2"/>
    <n v="3"/>
    <n v="18000"/>
    <s v="10-01-2025"/>
    <m/>
    <n v="54000"/>
  </r>
  <r>
    <n v="304"/>
    <x v="3"/>
    <s v="Neha"/>
    <x v="0"/>
    <n v="1"/>
    <n v="45000"/>
    <s v="12-01-2025"/>
    <m/>
    <n v="45000"/>
  </r>
  <r>
    <n v="305"/>
    <x v="0"/>
    <s v="Amit"/>
    <x v="1"/>
    <n v="4"/>
    <n v="15000"/>
    <s v="15-01-2025"/>
    <m/>
    <n v="60000"/>
  </r>
  <r>
    <n v="306"/>
    <x v="1"/>
    <s v="Riya"/>
    <x v="0"/>
    <n v="2"/>
    <n v="45000"/>
    <s v="18-01-2025"/>
    <m/>
    <n v="90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"/>
    <x v="0"/>
    <n v="78"/>
    <n v="82"/>
    <n v="85"/>
    <n v="92"/>
  </r>
  <r>
    <n v="2"/>
    <x v="1"/>
    <n v="88"/>
    <n v="91"/>
    <n v="90"/>
    <n v="96"/>
  </r>
  <r>
    <n v="3"/>
    <x v="2"/>
    <n v="65"/>
    <n v="70"/>
    <n v="72"/>
    <n v="85"/>
  </r>
  <r>
    <n v="4"/>
    <x v="3"/>
    <n v="92"/>
    <n v="89"/>
    <n v="94"/>
    <n v="98"/>
  </r>
  <r>
    <n v="5"/>
    <x v="4"/>
    <n v="55"/>
    <n v="60"/>
    <n v="58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A90B73-C95F-4DE7-9F35-7DB8C80AEB49}" name="PivotTable7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71:D177" firstHeaderRow="0" firstDataRow="1" firstDataCol="1"/>
  <pivotFields count="6">
    <pivotField showAll="0"/>
    <pivotField axis="axisRow" showAll="0">
      <items count="6">
        <item x="2"/>
        <item x="3"/>
        <item x="0"/>
        <item x="1"/>
        <item x="4"/>
        <item t="default"/>
      </items>
    </pivotField>
    <pivotField dataField="1" showAll="0"/>
    <pivotField dataField="1" showAll="0"/>
    <pivotField dataField="1"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xcel" fld="4" baseField="0" baseItem="0"/>
    <dataField name="Sum of Maths" fld="2" baseField="0" baseItem="0"/>
    <dataField name="Sum of Statistics" fld="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AA7282-B535-4D90-AD68-946C37385961}" name="PivotTable6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39:M145" firstHeaderRow="0" firstDataRow="1" firstDataCol="1"/>
  <pivotFields count="6">
    <pivotField showAll="0"/>
    <pivotField axis="axisRow" showAll="0">
      <items count="6">
        <item x="2"/>
        <item x="3"/>
        <item x="0"/>
        <item x="1"/>
        <item x="4"/>
        <item t="default"/>
      </items>
    </pivotField>
    <pivotField dataField="1" showAll="0"/>
    <pivotField dataField="1" showAll="0"/>
    <pivotField dataField="1"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xcel" fld="4" baseField="0" baseItem="0"/>
    <dataField name="Sum of Maths" fld="2" baseField="0" baseItem="0"/>
    <dataField name="Sum of Statistic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DB1CF-36AD-45BF-98B0-15D2C20F91F6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49:C154" firstHeaderRow="1" firstDataRow="1" firstDataCol="1"/>
  <pivotFields count="9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E1BA2B-F922-46FC-AEA5-BDEF25BB8CBA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B141:C145" firstHeaderRow="1" firstDataRow="1" firstDataCol="1"/>
  <pivotFields count="9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D5FAA-148C-4B9F-8603-D8EB3A3409F2}">
  <sheetPr filterMode="1"/>
  <dimension ref="A1:M273"/>
  <sheetViews>
    <sheetView tabSelected="1" topLeftCell="A254" workbookViewId="0">
      <pane ySplit="1" topLeftCell="A255" activePane="bottomLeft" state="frozen"/>
      <selection activeCell="A254" sqref="A254"/>
      <selection pane="bottomLeft" activeCell="A268" sqref="A268:F273"/>
    </sheetView>
  </sheetViews>
  <sheetFormatPr defaultRowHeight="15" x14ac:dyDescent="0.25"/>
  <cols>
    <col min="1" max="1" width="11.85546875" customWidth="1"/>
    <col min="2" max="2" width="13.140625" bestFit="1" customWidth="1"/>
    <col min="3" max="3" width="17.28515625" customWidth="1"/>
    <col min="4" max="4" width="16.85546875" customWidth="1"/>
    <col min="6" max="6" width="13.140625" customWidth="1"/>
    <col min="8" max="9" width="10.42578125" customWidth="1"/>
    <col min="10" max="10" width="13.140625" bestFit="1" customWidth="1"/>
    <col min="11" max="11" width="12.140625" bestFit="1" customWidth="1"/>
    <col min="12" max="12" width="13.28515625" bestFit="1" customWidth="1"/>
    <col min="13" max="13" width="15.5703125" bestFit="1" customWidth="1"/>
  </cols>
  <sheetData>
    <row r="1" spans="1:12" x14ac:dyDescent="0.25">
      <c r="A1" t="s">
        <v>0</v>
      </c>
    </row>
    <row r="2" spans="1:12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25</v>
      </c>
      <c r="J2" t="s">
        <v>90</v>
      </c>
      <c r="K2" t="s">
        <v>30</v>
      </c>
      <c r="L2" t="s">
        <v>91</v>
      </c>
    </row>
    <row r="3" spans="1:12" x14ac:dyDescent="0.25">
      <c r="A3">
        <v>301</v>
      </c>
      <c r="B3" t="s">
        <v>1</v>
      </c>
      <c r="C3" t="s">
        <v>2</v>
      </c>
      <c r="D3" t="s">
        <v>3</v>
      </c>
      <c r="E3">
        <v>2</v>
      </c>
      <c r="F3">
        <v>45000</v>
      </c>
      <c r="G3" t="s">
        <v>4</v>
      </c>
      <c r="I3">
        <f>E3*F3</f>
        <v>90000</v>
      </c>
      <c r="J3" s="5">
        <v>0.18</v>
      </c>
      <c r="K3">
        <f>I3*J3</f>
        <v>16200</v>
      </c>
      <c r="L3">
        <f>I3+K3</f>
        <v>106200</v>
      </c>
    </row>
    <row r="4" spans="1:12" x14ac:dyDescent="0.25">
      <c r="A4">
        <v>302</v>
      </c>
      <c r="B4" t="s">
        <v>5</v>
      </c>
      <c r="C4" t="s">
        <v>6</v>
      </c>
      <c r="D4" t="s">
        <v>7</v>
      </c>
      <c r="E4">
        <v>5</v>
      </c>
      <c r="F4">
        <v>15000</v>
      </c>
      <c r="G4" t="s">
        <v>8</v>
      </c>
      <c r="I4">
        <f t="shared" ref="I4:I8" si="0">E4*F4</f>
        <v>75000</v>
      </c>
      <c r="J4" s="5">
        <v>0.12</v>
      </c>
      <c r="K4">
        <f t="shared" ref="K4:K8" si="1">I4*J4</f>
        <v>9000</v>
      </c>
      <c r="L4">
        <f t="shared" ref="L4:L8" si="2">I4+K4</f>
        <v>84000</v>
      </c>
    </row>
    <row r="5" spans="1:12" x14ac:dyDescent="0.25">
      <c r="A5">
        <v>303</v>
      </c>
      <c r="B5" t="s">
        <v>9</v>
      </c>
      <c r="C5" t="s">
        <v>10</v>
      </c>
      <c r="D5" t="s">
        <v>11</v>
      </c>
      <c r="E5">
        <v>3</v>
      </c>
      <c r="F5">
        <v>18000</v>
      </c>
      <c r="G5" t="s">
        <v>12</v>
      </c>
      <c r="I5">
        <f t="shared" si="0"/>
        <v>54000</v>
      </c>
      <c r="J5" s="5">
        <v>0.12</v>
      </c>
      <c r="K5">
        <f t="shared" si="1"/>
        <v>6480</v>
      </c>
      <c r="L5">
        <f t="shared" si="2"/>
        <v>60480</v>
      </c>
    </row>
    <row r="6" spans="1:12" x14ac:dyDescent="0.25">
      <c r="A6">
        <v>304</v>
      </c>
      <c r="B6" t="s">
        <v>13</v>
      </c>
      <c r="C6" t="s">
        <v>14</v>
      </c>
      <c r="D6" t="s">
        <v>3</v>
      </c>
      <c r="E6">
        <v>1</v>
      </c>
      <c r="F6">
        <v>45000</v>
      </c>
      <c r="G6" t="s">
        <v>15</v>
      </c>
      <c r="I6">
        <f t="shared" si="0"/>
        <v>45000</v>
      </c>
      <c r="J6" s="5">
        <v>0.18</v>
      </c>
      <c r="K6">
        <f t="shared" si="1"/>
        <v>8100</v>
      </c>
      <c r="L6">
        <f t="shared" si="2"/>
        <v>53100</v>
      </c>
    </row>
    <row r="7" spans="1:12" x14ac:dyDescent="0.25">
      <c r="A7">
        <v>305</v>
      </c>
      <c r="B7" t="s">
        <v>1</v>
      </c>
      <c r="C7" t="s">
        <v>2</v>
      </c>
      <c r="D7" t="s">
        <v>7</v>
      </c>
      <c r="E7">
        <v>4</v>
      </c>
      <c r="F7">
        <v>15000</v>
      </c>
      <c r="G7" t="s">
        <v>16</v>
      </c>
      <c r="I7">
        <f t="shared" si="0"/>
        <v>60000</v>
      </c>
      <c r="J7" s="5">
        <v>0.12</v>
      </c>
      <c r="K7">
        <f t="shared" si="1"/>
        <v>7200</v>
      </c>
      <c r="L7">
        <f t="shared" si="2"/>
        <v>67200</v>
      </c>
    </row>
    <row r="8" spans="1:12" x14ac:dyDescent="0.25">
      <c r="A8">
        <v>306</v>
      </c>
      <c r="B8" t="s">
        <v>5</v>
      </c>
      <c r="C8" t="s">
        <v>6</v>
      </c>
      <c r="D8" t="s">
        <v>3</v>
      </c>
      <c r="E8">
        <v>2</v>
      </c>
      <c r="F8">
        <v>45000</v>
      </c>
      <c r="G8" t="s">
        <v>17</v>
      </c>
      <c r="I8">
        <f t="shared" si="0"/>
        <v>90000</v>
      </c>
      <c r="J8" s="5">
        <v>0.18</v>
      </c>
      <c r="K8">
        <f t="shared" si="1"/>
        <v>16200</v>
      </c>
      <c r="L8">
        <f t="shared" si="2"/>
        <v>106200</v>
      </c>
    </row>
    <row r="9" spans="1:12" x14ac:dyDescent="0.25">
      <c r="L9">
        <f>SUM(L3:L8)</f>
        <v>477180</v>
      </c>
    </row>
    <row r="11" spans="1:12" x14ac:dyDescent="0.25">
      <c r="A11" t="s">
        <v>26</v>
      </c>
    </row>
    <row r="13" spans="1:12" x14ac:dyDescent="0.25">
      <c r="A13" t="s">
        <v>21</v>
      </c>
      <c r="B13" t="s">
        <v>27</v>
      </c>
      <c r="C13" t="s">
        <v>28</v>
      </c>
      <c r="D13" t="s">
        <v>30</v>
      </c>
    </row>
    <row r="14" spans="1:12" x14ac:dyDescent="0.25">
      <c r="A14" t="s">
        <v>3</v>
      </c>
      <c r="B14" t="s">
        <v>29</v>
      </c>
      <c r="C14">
        <v>18</v>
      </c>
      <c r="D14">
        <f>VLOOKUP(A14,D2:K8,8,0)</f>
        <v>16200</v>
      </c>
    </row>
    <row r="15" spans="1:12" x14ac:dyDescent="0.25">
      <c r="A15" t="s">
        <v>7</v>
      </c>
      <c r="B15" t="s">
        <v>29</v>
      </c>
      <c r="C15">
        <v>12</v>
      </c>
      <c r="D15">
        <f t="shared" ref="D15:D16" si="3">VLOOKUP(A15,D3:K9,8,0)</f>
        <v>9000</v>
      </c>
    </row>
    <row r="16" spans="1:12" x14ac:dyDescent="0.25">
      <c r="A16" t="s">
        <v>11</v>
      </c>
      <c r="B16" t="s">
        <v>29</v>
      </c>
      <c r="C16">
        <v>12</v>
      </c>
      <c r="D16">
        <f t="shared" si="3"/>
        <v>6480</v>
      </c>
    </row>
    <row r="18" spans="1:9" x14ac:dyDescent="0.25">
      <c r="A18" t="s">
        <v>31</v>
      </c>
    </row>
    <row r="20" spans="1:9" x14ac:dyDescent="0.25">
      <c r="A20" t="s">
        <v>21</v>
      </c>
      <c r="B20" t="s">
        <v>27</v>
      </c>
      <c r="C20" t="s">
        <v>28</v>
      </c>
      <c r="D20" t="s">
        <v>32</v>
      </c>
    </row>
    <row r="21" spans="1:9" x14ac:dyDescent="0.25">
      <c r="A21" t="s">
        <v>3</v>
      </c>
      <c r="B21" t="s">
        <v>29</v>
      </c>
      <c r="C21">
        <v>18</v>
      </c>
      <c r="D21" s="1">
        <f>K3+J3</f>
        <v>16200.18</v>
      </c>
    </row>
    <row r="22" spans="1:9" x14ac:dyDescent="0.25">
      <c r="A22" t="s">
        <v>7</v>
      </c>
      <c r="B22" t="s">
        <v>29</v>
      </c>
      <c r="C22">
        <v>12</v>
      </c>
      <c r="D22" s="1">
        <f t="shared" ref="D22:D23" si="4">K4+J4</f>
        <v>9000.1200000000008</v>
      </c>
    </row>
    <row r="23" spans="1:9" x14ac:dyDescent="0.25">
      <c r="A23" t="s">
        <v>11</v>
      </c>
      <c r="B23" t="s">
        <v>29</v>
      </c>
      <c r="C23">
        <v>12</v>
      </c>
      <c r="D23" s="1">
        <f t="shared" si="4"/>
        <v>6480.12</v>
      </c>
    </row>
    <row r="25" spans="1:9" x14ac:dyDescent="0.25">
      <c r="A25" t="s">
        <v>33</v>
      </c>
    </row>
    <row r="26" spans="1:9" x14ac:dyDescent="0.25">
      <c r="H26" t="s">
        <v>35</v>
      </c>
    </row>
    <row r="27" spans="1:9" x14ac:dyDescent="0.25">
      <c r="A27" t="s">
        <v>21</v>
      </c>
      <c r="B27" t="s">
        <v>27</v>
      </c>
      <c r="C27" t="s">
        <v>28</v>
      </c>
      <c r="D27" t="s">
        <v>34</v>
      </c>
      <c r="H27">
        <f>COUNTA(A3:A8)</f>
        <v>6</v>
      </c>
      <c r="I27" t="s">
        <v>65</v>
      </c>
    </row>
    <row r="28" spans="1:9" x14ac:dyDescent="0.25">
      <c r="D28">
        <v>477180</v>
      </c>
    </row>
    <row r="29" spans="1:9" x14ac:dyDescent="0.25">
      <c r="A29" t="s">
        <v>3</v>
      </c>
      <c r="B29" t="s">
        <v>29</v>
      </c>
      <c r="C29">
        <v>18</v>
      </c>
      <c r="D29">
        <v>106200</v>
      </c>
    </row>
    <row r="30" spans="1:9" x14ac:dyDescent="0.25">
      <c r="D30">
        <v>106200</v>
      </c>
    </row>
    <row r="31" spans="1:9" x14ac:dyDescent="0.25">
      <c r="A31" t="s">
        <v>7</v>
      </c>
      <c r="B31" t="s">
        <v>29</v>
      </c>
      <c r="C31">
        <v>12</v>
      </c>
      <c r="D31">
        <v>84000</v>
      </c>
    </row>
    <row r="32" spans="1:9" x14ac:dyDescent="0.25">
      <c r="D32">
        <v>67200</v>
      </c>
    </row>
    <row r="33" spans="1:7" x14ac:dyDescent="0.25">
      <c r="A33" t="s">
        <v>11</v>
      </c>
      <c r="B33" t="s">
        <v>29</v>
      </c>
      <c r="C33">
        <v>12</v>
      </c>
      <c r="D33">
        <v>60480</v>
      </c>
    </row>
    <row r="34" spans="1:7" x14ac:dyDescent="0.25">
      <c r="D34">
        <v>53100</v>
      </c>
    </row>
    <row r="35" spans="1:7" x14ac:dyDescent="0.25">
      <c r="A35" t="s">
        <v>36</v>
      </c>
    </row>
    <row r="37" spans="1:7" x14ac:dyDescent="0.25">
      <c r="A37" t="s">
        <v>18</v>
      </c>
      <c r="B37" t="s">
        <v>19</v>
      </c>
      <c r="C37" t="s">
        <v>20</v>
      </c>
      <c r="D37" t="s">
        <v>21</v>
      </c>
      <c r="E37" t="s">
        <v>22</v>
      </c>
      <c r="F37" t="s">
        <v>23</v>
      </c>
      <c r="G37" t="s">
        <v>24</v>
      </c>
    </row>
    <row r="38" spans="1:7" x14ac:dyDescent="0.25">
      <c r="A38">
        <v>301</v>
      </c>
      <c r="B38" t="s">
        <v>1</v>
      </c>
      <c r="C38" t="s">
        <v>2</v>
      </c>
      <c r="D38" t="s">
        <v>3</v>
      </c>
      <c r="E38">
        <v>2</v>
      </c>
      <c r="F38">
        <v>45000</v>
      </c>
      <c r="G38" t="s">
        <v>4</v>
      </c>
    </row>
    <row r="39" spans="1:7" x14ac:dyDescent="0.25">
      <c r="A39">
        <v>302</v>
      </c>
      <c r="B39" t="s">
        <v>5</v>
      </c>
      <c r="C39" t="s">
        <v>6</v>
      </c>
      <c r="D39" t="s">
        <v>7</v>
      </c>
      <c r="E39">
        <v>5</v>
      </c>
      <c r="F39">
        <v>15000</v>
      </c>
      <c r="G39" t="s">
        <v>8</v>
      </c>
    </row>
    <row r="40" spans="1:7" x14ac:dyDescent="0.25">
      <c r="A40">
        <v>303</v>
      </c>
      <c r="B40" t="s">
        <v>9</v>
      </c>
      <c r="C40" t="s">
        <v>10</v>
      </c>
      <c r="D40" t="s">
        <v>11</v>
      </c>
      <c r="E40">
        <v>3</v>
      </c>
      <c r="F40">
        <v>18000</v>
      </c>
      <c r="G40" t="s">
        <v>12</v>
      </c>
    </row>
    <row r="41" spans="1:7" x14ac:dyDescent="0.25">
      <c r="A41">
        <v>304</v>
      </c>
      <c r="B41" t="s">
        <v>13</v>
      </c>
      <c r="C41" t="s">
        <v>14</v>
      </c>
      <c r="D41" t="s">
        <v>3</v>
      </c>
      <c r="E41">
        <v>1</v>
      </c>
      <c r="F41">
        <v>45000</v>
      </c>
      <c r="G41" t="s">
        <v>15</v>
      </c>
    </row>
    <row r="42" spans="1:7" x14ac:dyDescent="0.25">
      <c r="A42">
        <v>305</v>
      </c>
      <c r="B42" t="s">
        <v>1</v>
      </c>
      <c r="C42" t="s">
        <v>2</v>
      </c>
      <c r="D42" t="s">
        <v>7</v>
      </c>
      <c r="E42">
        <v>4</v>
      </c>
      <c r="F42">
        <v>15000</v>
      </c>
      <c r="G42" t="s">
        <v>16</v>
      </c>
    </row>
    <row r="43" spans="1:7" x14ac:dyDescent="0.25">
      <c r="A43">
        <v>306</v>
      </c>
      <c r="B43" t="s">
        <v>5</v>
      </c>
      <c r="C43" t="s">
        <v>6</v>
      </c>
      <c r="D43" t="s">
        <v>3</v>
      </c>
      <c r="E43">
        <v>2</v>
      </c>
      <c r="F43">
        <v>45000</v>
      </c>
      <c r="G43" t="s">
        <v>17</v>
      </c>
    </row>
    <row r="45" spans="1:7" x14ac:dyDescent="0.25">
      <c r="B45" t="s">
        <v>37</v>
      </c>
    </row>
    <row r="46" spans="1:7" x14ac:dyDescent="0.25">
      <c r="B46" t="s">
        <v>1</v>
      </c>
      <c r="C46">
        <f>F38+E48</f>
        <v>45000</v>
      </c>
    </row>
    <row r="47" spans="1:7" x14ac:dyDescent="0.25">
      <c r="B47" t="s">
        <v>38</v>
      </c>
      <c r="C47">
        <f t="shared" ref="C47:C49" si="5">F39+F43</f>
        <v>60000</v>
      </c>
    </row>
    <row r="48" spans="1:7" x14ac:dyDescent="0.25">
      <c r="B48" t="s">
        <v>39</v>
      </c>
      <c r="C48">
        <f t="shared" si="5"/>
        <v>18000</v>
      </c>
    </row>
    <row r="49" spans="1:7" x14ac:dyDescent="0.25">
      <c r="B49" t="s">
        <v>13</v>
      </c>
      <c r="C49">
        <f t="shared" si="5"/>
        <v>45000</v>
      </c>
    </row>
    <row r="51" spans="1:7" x14ac:dyDescent="0.25">
      <c r="A51" t="s">
        <v>40</v>
      </c>
    </row>
    <row r="53" spans="1:7" x14ac:dyDescent="0.25">
      <c r="A53" t="s">
        <v>18</v>
      </c>
      <c r="B53" t="s">
        <v>19</v>
      </c>
      <c r="C53" t="s">
        <v>20</v>
      </c>
      <c r="D53" t="s">
        <v>21</v>
      </c>
      <c r="E53" t="s">
        <v>22</v>
      </c>
      <c r="F53" t="s">
        <v>23</v>
      </c>
      <c r="G53" t="s">
        <v>24</v>
      </c>
    </row>
    <row r="54" spans="1:7" x14ac:dyDescent="0.25">
      <c r="A54">
        <v>301</v>
      </c>
      <c r="B54" t="s">
        <v>1</v>
      </c>
      <c r="C54" t="s">
        <v>2</v>
      </c>
      <c r="D54" t="s">
        <v>3</v>
      </c>
      <c r="E54">
        <v>2</v>
      </c>
      <c r="F54">
        <v>45000</v>
      </c>
      <c r="G54" t="s">
        <v>4</v>
      </c>
    </row>
    <row r="55" spans="1:7" x14ac:dyDescent="0.25">
      <c r="A55">
        <v>302</v>
      </c>
      <c r="B55" t="s">
        <v>5</v>
      </c>
      <c r="C55" t="s">
        <v>6</v>
      </c>
      <c r="D55" t="s">
        <v>7</v>
      </c>
      <c r="E55">
        <v>5</v>
      </c>
      <c r="F55">
        <v>15000</v>
      </c>
      <c r="G55" t="s">
        <v>8</v>
      </c>
    </row>
    <row r="56" spans="1:7" x14ac:dyDescent="0.25">
      <c r="A56">
        <v>303</v>
      </c>
      <c r="B56" t="s">
        <v>9</v>
      </c>
      <c r="C56" t="s">
        <v>10</v>
      </c>
      <c r="D56" t="s">
        <v>11</v>
      </c>
      <c r="E56">
        <v>3</v>
      </c>
      <c r="F56">
        <v>18000</v>
      </c>
      <c r="G56" t="s">
        <v>12</v>
      </c>
    </row>
    <row r="57" spans="1:7" x14ac:dyDescent="0.25">
      <c r="A57">
        <v>304</v>
      </c>
      <c r="B57" t="s">
        <v>13</v>
      </c>
      <c r="C57" t="s">
        <v>14</v>
      </c>
      <c r="D57" t="s">
        <v>3</v>
      </c>
      <c r="E57">
        <v>1</v>
      </c>
      <c r="F57">
        <v>45000</v>
      </c>
      <c r="G57" t="s">
        <v>15</v>
      </c>
    </row>
    <row r="58" spans="1:7" x14ac:dyDescent="0.25">
      <c r="A58">
        <v>305</v>
      </c>
      <c r="B58" t="s">
        <v>1</v>
      </c>
      <c r="C58" t="s">
        <v>2</v>
      </c>
      <c r="D58" t="s">
        <v>7</v>
      </c>
      <c r="E58">
        <v>4</v>
      </c>
      <c r="F58">
        <v>15000</v>
      </c>
      <c r="G58" t="s">
        <v>16</v>
      </c>
    </row>
    <row r="59" spans="1:7" x14ac:dyDescent="0.25">
      <c r="A59">
        <v>306</v>
      </c>
      <c r="B59" t="s">
        <v>5</v>
      </c>
      <c r="C59" t="s">
        <v>6</v>
      </c>
      <c r="D59" t="s">
        <v>3</v>
      </c>
      <c r="E59">
        <v>2</v>
      </c>
      <c r="F59">
        <v>45000</v>
      </c>
      <c r="G59" t="s">
        <v>17</v>
      </c>
    </row>
    <row r="62" spans="1:7" x14ac:dyDescent="0.25">
      <c r="C62" t="s">
        <v>22</v>
      </c>
    </row>
    <row r="63" spans="1:7" x14ac:dyDescent="0.25">
      <c r="C63">
        <v>2</v>
      </c>
      <c r="D63" t="str">
        <f>IF(C63&gt;=3, "high", "low")</f>
        <v>low</v>
      </c>
    </row>
    <row r="64" spans="1:7" x14ac:dyDescent="0.25">
      <c r="C64">
        <v>5</v>
      </c>
      <c r="D64" t="str">
        <f t="shared" ref="D64:D68" si="6">IF(C64&gt;=3, "high", "low")</f>
        <v>high</v>
      </c>
    </row>
    <row r="65" spans="1:7" x14ac:dyDescent="0.25">
      <c r="C65">
        <v>3</v>
      </c>
      <c r="D65" t="str">
        <f t="shared" si="6"/>
        <v>high</v>
      </c>
    </row>
    <row r="66" spans="1:7" x14ac:dyDescent="0.25">
      <c r="C66">
        <v>1</v>
      </c>
      <c r="D66" t="str">
        <f t="shared" si="6"/>
        <v>low</v>
      </c>
    </row>
    <row r="67" spans="1:7" x14ac:dyDescent="0.25">
      <c r="C67">
        <v>4</v>
      </c>
      <c r="D67" t="str">
        <f t="shared" si="6"/>
        <v>high</v>
      </c>
    </row>
    <row r="68" spans="1:7" x14ac:dyDescent="0.25">
      <c r="C68">
        <v>2</v>
      </c>
      <c r="D68" t="str">
        <f t="shared" si="6"/>
        <v>low</v>
      </c>
    </row>
    <row r="70" spans="1:7" x14ac:dyDescent="0.25">
      <c r="A70" t="s">
        <v>41</v>
      </c>
    </row>
    <row r="72" spans="1:7" x14ac:dyDescent="0.25">
      <c r="A72" t="s">
        <v>18</v>
      </c>
      <c r="B72" t="s">
        <v>19</v>
      </c>
      <c r="C72" t="s">
        <v>20</v>
      </c>
      <c r="D72" t="s">
        <v>21</v>
      </c>
      <c r="E72" t="s">
        <v>22</v>
      </c>
      <c r="F72" t="s">
        <v>23</v>
      </c>
      <c r="G72" t="s">
        <v>24</v>
      </c>
    </row>
    <row r="73" spans="1:7" x14ac:dyDescent="0.25">
      <c r="A73">
        <v>301</v>
      </c>
      <c r="B73" t="s">
        <v>1</v>
      </c>
      <c r="C73" t="s">
        <v>2</v>
      </c>
      <c r="D73" t="s">
        <v>3</v>
      </c>
      <c r="E73">
        <v>2</v>
      </c>
      <c r="F73">
        <v>45000</v>
      </c>
      <c r="G73" t="s">
        <v>4</v>
      </c>
    </row>
    <row r="74" spans="1:7" x14ac:dyDescent="0.25">
      <c r="A74">
        <v>302</v>
      </c>
      <c r="B74" t="s">
        <v>5</v>
      </c>
      <c r="C74" t="s">
        <v>6</v>
      </c>
      <c r="D74" t="s">
        <v>7</v>
      </c>
      <c r="E74">
        <v>5</v>
      </c>
      <c r="F74">
        <v>15000</v>
      </c>
      <c r="G74" t="s">
        <v>8</v>
      </c>
    </row>
    <row r="75" spans="1:7" x14ac:dyDescent="0.25">
      <c r="A75">
        <v>303</v>
      </c>
      <c r="B75" t="s">
        <v>9</v>
      </c>
      <c r="C75" t="s">
        <v>10</v>
      </c>
      <c r="D75" t="s">
        <v>11</v>
      </c>
      <c r="E75">
        <v>3</v>
      </c>
      <c r="F75">
        <v>18000</v>
      </c>
      <c r="G75" t="s">
        <v>12</v>
      </c>
    </row>
    <row r="76" spans="1:7" x14ac:dyDescent="0.25">
      <c r="A76">
        <v>304</v>
      </c>
      <c r="B76" t="s">
        <v>13</v>
      </c>
      <c r="C76" t="s">
        <v>14</v>
      </c>
      <c r="D76" t="s">
        <v>3</v>
      </c>
      <c r="E76">
        <v>1</v>
      </c>
      <c r="F76">
        <v>45000</v>
      </c>
      <c r="G76" t="s">
        <v>15</v>
      </c>
    </row>
    <row r="77" spans="1:7" x14ac:dyDescent="0.25">
      <c r="A77">
        <v>305</v>
      </c>
      <c r="B77" t="s">
        <v>1</v>
      </c>
      <c r="C77" t="s">
        <v>2</v>
      </c>
      <c r="D77" t="s">
        <v>7</v>
      </c>
      <c r="E77">
        <v>4</v>
      </c>
      <c r="F77">
        <v>15000</v>
      </c>
      <c r="G77" t="s">
        <v>16</v>
      </c>
    </row>
    <row r="78" spans="1:7" x14ac:dyDescent="0.25">
      <c r="A78">
        <v>306</v>
      </c>
      <c r="B78" t="s">
        <v>5</v>
      </c>
      <c r="C78" t="s">
        <v>6</v>
      </c>
      <c r="D78" t="s">
        <v>3</v>
      </c>
      <c r="E78">
        <v>2</v>
      </c>
      <c r="F78">
        <v>45000</v>
      </c>
      <c r="G78" t="s">
        <v>17</v>
      </c>
    </row>
    <row r="80" spans="1:7" x14ac:dyDescent="0.25">
      <c r="D80" t="s">
        <v>42</v>
      </c>
      <c r="E80">
        <f>MAX(I3:I8)</f>
        <v>90000</v>
      </c>
    </row>
    <row r="81" spans="1:9" x14ac:dyDescent="0.25">
      <c r="D81" t="s">
        <v>43</v>
      </c>
      <c r="E81">
        <f>MIN(I3:I8)</f>
        <v>45000</v>
      </c>
    </row>
    <row r="83" spans="1:9" x14ac:dyDescent="0.25">
      <c r="A83" t="s">
        <v>44</v>
      </c>
    </row>
    <row r="85" spans="1:9" x14ac:dyDescent="0.25">
      <c r="A85" t="s">
        <v>18</v>
      </c>
      <c r="B85" t="s">
        <v>19</v>
      </c>
      <c r="C85" t="s">
        <v>20</v>
      </c>
      <c r="D85" t="s">
        <v>21</v>
      </c>
      <c r="E85" t="s">
        <v>22</v>
      </c>
      <c r="F85" t="s">
        <v>23</v>
      </c>
      <c r="G85" t="s">
        <v>24</v>
      </c>
      <c r="I85" t="s">
        <v>45</v>
      </c>
    </row>
    <row r="86" spans="1:9" x14ac:dyDescent="0.25">
      <c r="A86">
        <v>301</v>
      </c>
      <c r="B86" t="s">
        <v>1</v>
      </c>
      <c r="C86" t="s">
        <v>2</v>
      </c>
      <c r="D86" t="s">
        <v>3</v>
      </c>
      <c r="E86">
        <v>2</v>
      </c>
      <c r="F86">
        <v>45000</v>
      </c>
      <c r="G86" t="s">
        <v>4</v>
      </c>
      <c r="I86" t="str">
        <f>TEXT(H86,"mmm")</f>
        <v>Jan</v>
      </c>
    </row>
    <row r="87" spans="1:9" x14ac:dyDescent="0.25">
      <c r="A87">
        <v>302</v>
      </c>
      <c r="B87" t="s">
        <v>5</v>
      </c>
      <c r="C87" t="s">
        <v>6</v>
      </c>
      <c r="D87" t="s">
        <v>7</v>
      </c>
      <c r="E87">
        <v>5</v>
      </c>
      <c r="F87">
        <v>15000</v>
      </c>
      <c r="G87" t="s">
        <v>8</v>
      </c>
      <c r="I87" t="str">
        <f t="shared" ref="I87:I91" si="7">TEXT(G87,"mmm")</f>
        <v>Jan</v>
      </c>
    </row>
    <row r="88" spans="1:9" x14ac:dyDescent="0.25">
      <c r="A88">
        <v>303</v>
      </c>
      <c r="B88" t="s">
        <v>9</v>
      </c>
      <c r="C88" t="s">
        <v>10</v>
      </c>
      <c r="D88" t="s">
        <v>11</v>
      </c>
      <c r="E88">
        <v>3</v>
      </c>
      <c r="F88">
        <v>18000</v>
      </c>
      <c r="G88" t="s">
        <v>12</v>
      </c>
      <c r="I88" t="str">
        <f t="shared" si="7"/>
        <v>Jan</v>
      </c>
    </row>
    <row r="89" spans="1:9" x14ac:dyDescent="0.25">
      <c r="A89">
        <v>304</v>
      </c>
      <c r="B89" t="s">
        <v>13</v>
      </c>
      <c r="C89" t="s">
        <v>14</v>
      </c>
      <c r="D89" t="s">
        <v>3</v>
      </c>
      <c r="E89">
        <v>1</v>
      </c>
      <c r="F89">
        <v>45000</v>
      </c>
      <c r="G89" t="s">
        <v>15</v>
      </c>
      <c r="I89" t="str">
        <f t="shared" si="7"/>
        <v>Jan</v>
      </c>
    </row>
    <row r="90" spans="1:9" x14ac:dyDescent="0.25">
      <c r="A90">
        <v>305</v>
      </c>
      <c r="B90" t="s">
        <v>1</v>
      </c>
      <c r="C90" t="s">
        <v>2</v>
      </c>
      <c r="D90" t="s">
        <v>7</v>
      </c>
      <c r="E90">
        <v>4</v>
      </c>
      <c r="F90">
        <v>15000</v>
      </c>
      <c r="G90" t="s">
        <v>16</v>
      </c>
      <c r="I90" t="str">
        <f t="shared" si="7"/>
        <v>Jan</v>
      </c>
    </row>
    <row r="91" spans="1:9" x14ac:dyDescent="0.25">
      <c r="A91">
        <v>306</v>
      </c>
      <c r="B91" t="s">
        <v>5</v>
      </c>
      <c r="C91" t="s">
        <v>6</v>
      </c>
      <c r="D91" t="s">
        <v>3</v>
      </c>
      <c r="E91">
        <v>2</v>
      </c>
      <c r="F91">
        <v>45000</v>
      </c>
      <c r="G91" t="s">
        <v>17</v>
      </c>
      <c r="I91" t="str">
        <f t="shared" si="7"/>
        <v>Jan</v>
      </c>
    </row>
    <row r="93" spans="1:9" x14ac:dyDescent="0.25">
      <c r="A93" t="s">
        <v>46</v>
      </c>
    </row>
    <row r="96" spans="1:9" x14ac:dyDescent="0.25">
      <c r="A96" t="s">
        <v>47</v>
      </c>
    </row>
    <row r="98" spans="1:11" x14ac:dyDescent="0.25">
      <c r="A98" t="s">
        <v>48</v>
      </c>
      <c r="B98" t="s">
        <v>49</v>
      </c>
      <c r="C98" t="s">
        <v>50</v>
      </c>
      <c r="D98" t="s">
        <v>51</v>
      </c>
      <c r="E98" t="s">
        <v>52</v>
      </c>
      <c r="F98" t="s">
        <v>53</v>
      </c>
      <c r="H98" t="s">
        <v>59</v>
      </c>
    </row>
    <row r="99" spans="1:11" x14ac:dyDescent="0.25">
      <c r="A99">
        <v>1</v>
      </c>
      <c r="B99" t="s">
        <v>54</v>
      </c>
      <c r="C99">
        <v>78</v>
      </c>
      <c r="D99">
        <v>82</v>
      </c>
      <c r="E99">
        <v>85</v>
      </c>
      <c r="F99">
        <v>92</v>
      </c>
      <c r="H99">
        <f>AVERAGE(C99,D99,E99)</f>
        <v>81.666666666666671</v>
      </c>
    </row>
    <row r="100" spans="1:11" x14ac:dyDescent="0.25">
      <c r="A100">
        <v>2</v>
      </c>
      <c r="B100" t="s">
        <v>55</v>
      </c>
      <c r="C100">
        <v>88</v>
      </c>
      <c r="D100">
        <v>91</v>
      </c>
      <c r="E100">
        <v>90</v>
      </c>
      <c r="F100">
        <v>96</v>
      </c>
      <c r="H100">
        <f t="shared" ref="H100:H103" si="8">AVERAGE(C100,D100,E100)</f>
        <v>89.666666666666671</v>
      </c>
    </row>
    <row r="101" spans="1:11" x14ac:dyDescent="0.25">
      <c r="A101">
        <v>3</v>
      </c>
      <c r="B101" t="s">
        <v>56</v>
      </c>
      <c r="C101">
        <v>65</v>
      </c>
      <c r="D101">
        <v>70</v>
      </c>
      <c r="E101">
        <v>72</v>
      </c>
      <c r="F101">
        <v>85</v>
      </c>
      <c r="H101">
        <f t="shared" si="8"/>
        <v>69</v>
      </c>
    </row>
    <row r="102" spans="1:11" x14ac:dyDescent="0.25">
      <c r="A102">
        <v>4</v>
      </c>
      <c r="B102" t="s">
        <v>57</v>
      </c>
      <c r="C102">
        <v>92</v>
      </c>
      <c r="D102">
        <v>89</v>
      </c>
      <c r="E102">
        <v>94</v>
      </c>
      <c r="F102">
        <v>98</v>
      </c>
      <c r="H102">
        <f t="shared" si="8"/>
        <v>91.666666666666671</v>
      </c>
    </row>
    <row r="103" spans="1:11" x14ac:dyDescent="0.25">
      <c r="A103">
        <v>5</v>
      </c>
      <c r="B103" t="s">
        <v>58</v>
      </c>
      <c r="C103">
        <v>55</v>
      </c>
      <c r="D103">
        <v>60</v>
      </c>
      <c r="E103">
        <v>58</v>
      </c>
      <c r="F103">
        <v>80</v>
      </c>
      <c r="H103">
        <f t="shared" si="8"/>
        <v>57.666666666666664</v>
      </c>
    </row>
    <row r="107" spans="1:11" x14ac:dyDescent="0.25">
      <c r="A107" t="s">
        <v>60</v>
      </c>
    </row>
    <row r="109" spans="1:11" x14ac:dyDescent="0.25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t="s">
        <v>53</v>
      </c>
      <c r="H109" t="s">
        <v>59</v>
      </c>
      <c r="J109" t="s">
        <v>62</v>
      </c>
    </row>
    <row r="110" spans="1:11" x14ac:dyDescent="0.25">
      <c r="A110">
        <v>1</v>
      </c>
      <c r="B110" t="s">
        <v>54</v>
      </c>
      <c r="C110">
        <v>78</v>
      </c>
      <c r="D110">
        <v>82</v>
      </c>
      <c r="E110">
        <v>85</v>
      </c>
      <c r="F110">
        <v>92</v>
      </c>
      <c r="H110">
        <f>AVERAGE(C110,D110,E110)</f>
        <v>81.666666666666671</v>
      </c>
      <c r="J110" t="s">
        <v>57</v>
      </c>
      <c r="K110">
        <f>MAX(H110:H114)</f>
        <v>91.666666666666671</v>
      </c>
    </row>
    <row r="111" spans="1:11" x14ac:dyDescent="0.25">
      <c r="A111">
        <v>2</v>
      </c>
      <c r="B111" t="s">
        <v>55</v>
      </c>
      <c r="C111">
        <v>88</v>
      </c>
      <c r="D111">
        <v>91</v>
      </c>
      <c r="E111">
        <v>90</v>
      </c>
      <c r="F111">
        <v>96</v>
      </c>
      <c r="H111">
        <f t="shared" ref="H111:H114" si="9">AVERAGE(C111,D111,E111)</f>
        <v>89.666666666666671</v>
      </c>
    </row>
    <row r="112" spans="1:11" x14ac:dyDescent="0.25">
      <c r="A112">
        <v>3</v>
      </c>
      <c r="B112" t="s">
        <v>56</v>
      </c>
      <c r="C112">
        <v>65</v>
      </c>
      <c r="D112">
        <v>70</v>
      </c>
      <c r="E112">
        <v>72</v>
      </c>
      <c r="F112">
        <v>85</v>
      </c>
      <c r="H112">
        <f t="shared" si="9"/>
        <v>69</v>
      </c>
    </row>
    <row r="113" spans="1:11" x14ac:dyDescent="0.25">
      <c r="A113">
        <v>4</v>
      </c>
      <c r="B113" t="s">
        <v>57</v>
      </c>
      <c r="C113">
        <v>92</v>
      </c>
      <c r="D113">
        <v>89</v>
      </c>
      <c r="E113">
        <v>94</v>
      </c>
      <c r="F113">
        <v>98</v>
      </c>
      <c r="H113">
        <f t="shared" si="9"/>
        <v>91.666666666666671</v>
      </c>
    </row>
    <row r="114" spans="1:11" x14ac:dyDescent="0.25">
      <c r="A114">
        <v>5</v>
      </c>
      <c r="B114" t="s">
        <v>58</v>
      </c>
      <c r="C114">
        <v>55</v>
      </c>
      <c r="D114">
        <v>60</v>
      </c>
      <c r="E114">
        <v>58</v>
      </c>
      <c r="F114">
        <v>80</v>
      </c>
      <c r="H114">
        <f t="shared" si="9"/>
        <v>57.666666666666664</v>
      </c>
    </row>
    <row r="116" spans="1:11" x14ac:dyDescent="0.25">
      <c r="A116" t="s">
        <v>61</v>
      </c>
    </row>
    <row r="118" spans="1:11" x14ac:dyDescent="0.25">
      <c r="A118" t="s">
        <v>48</v>
      </c>
      <c r="B118" t="s">
        <v>49</v>
      </c>
      <c r="C118" t="s">
        <v>50</v>
      </c>
      <c r="D118" t="s">
        <v>51</v>
      </c>
      <c r="E118" t="s">
        <v>52</v>
      </c>
      <c r="F118" t="s">
        <v>53</v>
      </c>
      <c r="H118" t="s">
        <v>59</v>
      </c>
      <c r="J118" t="s">
        <v>63</v>
      </c>
    </row>
    <row r="119" spans="1:11" x14ac:dyDescent="0.25">
      <c r="A119">
        <v>1</v>
      </c>
      <c r="B119" t="s">
        <v>54</v>
      </c>
      <c r="C119">
        <v>78</v>
      </c>
      <c r="D119">
        <v>82</v>
      </c>
      <c r="E119">
        <v>85</v>
      </c>
      <c r="F119">
        <v>92</v>
      </c>
      <c r="H119">
        <f>AVERAGE(C119,D119,E119)</f>
        <v>81.666666666666671</v>
      </c>
      <c r="J119">
        <f>COUNTIF(H119:H123,"&gt;90")</f>
        <v>1</v>
      </c>
      <c r="K119" t="s">
        <v>57</v>
      </c>
    </row>
    <row r="120" spans="1:11" x14ac:dyDescent="0.25">
      <c r="A120">
        <v>2</v>
      </c>
      <c r="B120" t="s">
        <v>55</v>
      </c>
      <c r="C120">
        <v>88</v>
      </c>
      <c r="D120">
        <v>91</v>
      </c>
      <c r="E120">
        <v>90</v>
      </c>
      <c r="F120">
        <v>96</v>
      </c>
      <c r="H120">
        <f t="shared" ref="H120:H123" si="10">AVERAGE(C120,D120,E120)</f>
        <v>89.666666666666671</v>
      </c>
    </row>
    <row r="121" spans="1:11" x14ac:dyDescent="0.25">
      <c r="A121">
        <v>3</v>
      </c>
      <c r="B121" t="s">
        <v>56</v>
      </c>
      <c r="C121">
        <v>65</v>
      </c>
      <c r="D121">
        <v>70</v>
      </c>
      <c r="E121">
        <v>72</v>
      </c>
      <c r="F121">
        <v>85</v>
      </c>
      <c r="H121">
        <f t="shared" si="10"/>
        <v>69</v>
      </c>
    </row>
    <row r="122" spans="1:11" x14ac:dyDescent="0.25">
      <c r="A122">
        <v>4</v>
      </c>
      <c r="B122" t="s">
        <v>57</v>
      </c>
      <c r="C122">
        <v>92</v>
      </c>
      <c r="D122">
        <v>89</v>
      </c>
      <c r="E122">
        <v>94</v>
      </c>
      <c r="F122">
        <v>98</v>
      </c>
      <c r="H122">
        <f t="shared" si="10"/>
        <v>91.666666666666671</v>
      </c>
    </row>
    <row r="123" spans="1:11" x14ac:dyDescent="0.25">
      <c r="A123">
        <v>5</v>
      </c>
      <c r="B123" t="s">
        <v>58</v>
      </c>
      <c r="C123">
        <v>55</v>
      </c>
      <c r="D123">
        <v>60</v>
      </c>
      <c r="E123">
        <v>58</v>
      </c>
      <c r="F123">
        <v>80</v>
      </c>
      <c r="H123">
        <f t="shared" si="10"/>
        <v>57.666666666666664</v>
      </c>
    </row>
    <row r="125" spans="1:11" x14ac:dyDescent="0.25">
      <c r="A125" t="s">
        <v>64</v>
      </c>
    </row>
    <row r="127" spans="1:11" x14ac:dyDescent="0.25">
      <c r="A127" t="s">
        <v>48</v>
      </c>
      <c r="B127" t="s">
        <v>49</v>
      </c>
      <c r="C127" t="s">
        <v>50</v>
      </c>
      <c r="D127" t="s">
        <v>51</v>
      </c>
      <c r="E127" t="s">
        <v>52</v>
      </c>
      <c r="F127" t="s">
        <v>53</v>
      </c>
      <c r="H127" t="s">
        <v>59</v>
      </c>
      <c r="I127" t="s">
        <v>66</v>
      </c>
    </row>
    <row r="128" spans="1:11" x14ac:dyDescent="0.25">
      <c r="A128">
        <v>1</v>
      </c>
      <c r="B128" t="s">
        <v>54</v>
      </c>
      <c r="C128">
        <v>78</v>
      </c>
      <c r="D128">
        <v>82</v>
      </c>
      <c r="E128">
        <v>85</v>
      </c>
      <c r="F128">
        <v>92</v>
      </c>
      <c r="H128">
        <f>AVERAGE(C128,D128,E128)</f>
        <v>81.666666666666671</v>
      </c>
      <c r="I128" t="str">
        <f>IF(F128&gt;=85, "Eligible", "Not Eligible")</f>
        <v>Eligible</v>
      </c>
    </row>
    <row r="129" spans="1:13" x14ac:dyDescent="0.25">
      <c r="A129">
        <v>2</v>
      </c>
      <c r="B129" t="s">
        <v>55</v>
      </c>
      <c r="C129">
        <v>88</v>
      </c>
      <c r="D129">
        <v>91</v>
      </c>
      <c r="E129">
        <v>90</v>
      </c>
      <c r="F129">
        <v>96</v>
      </c>
      <c r="H129">
        <f t="shared" ref="H129:H132" si="11">AVERAGE(C129,D129,E129)</f>
        <v>89.666666666666671</v>
      </c>
      <c r="I129" t="str">
        <f t="shared" ref="I129:I132" si="12">IF(F129&gt;=85, "Eligible", "Not Eligible")</f>
        <v>Eligible</v>
      </c>
    </row>
    <row r="130" spans="1:13" x14ac:dyDescent="0.25">
      <c r="A130">
        <v>3</v>
      </c>
      <c r="B130" t="s">
        <v>56</v>
      </c>
      <c r="C130">
        <v>65</v>
      </c>
      <c r="D130">
        <v>70</v>
      </c>
      <c r="E130">
        <v>72</v>
      </c>
      <c r="F130">
        <v>85</v>
      </c>
      <c r="H130">
        <f t="shared" si="11"/>
        <v>69</v>
      </c>
      <c r="I130" t="str">
        <f t="shared" si="12"/>
        <v>Eligible</v>
      </c>
    </row>
    <row r="131" spans="1:13" x14ac:dyDescent="0.25">
      <c r="A131">
        <v>4</v>
      </c>
      <c r="B131" t="s">
        <v>57</v>
      </c>
      <c r="C131">
        <v>92</v>
      </c>
      <c r="D131">
        <v>89</v>
      </c>
      <c r="E131">
        <v>94</v>
      </c>
      <c r="F131">
        <v>98</v>
      </c>
      <c r="H131">
        <f t="shared" si="11"/>
        <v>91.666666666666671</v>
      </c>
      <c r="I131" t="str">
        <f t="shared" si="12"/>
        <v>Eligible</v>
      </c>
    </row>
    <row r="132" spans="1:13" x14ac:dyDescent="0.25">
      <c r="A132">
        <v>5</v>
      </c>
      <c r="B132" t="s">
        <v>58</v>
      </c>
      <c r="C132">
        <v>55</v>
      </c>
      <c r="D132">
        <v>60</v>
      </c>
      <c r="E132">
        <v>58</v>
      </c>
      <c r="F132">
        <v>80</v>
      </c>
      <c r="H132">
        <f t="shared" si="11"/>
        <v>57.666666666666664</v>
      </c>
      <c r="I132" t="str">
        <f t="shared" si="12"/>
        <v>Not Eligible</v>
      </c>
    </row>
    <row r="134" spans="1:13" x14ac:dyDescent="0.25">
      <c r="A134" t="s">
        <v>67</v>
      </c>
    </row>
    <row r="136" spans="1:13" x14ac:dyDescent="0.25">
      <c r="A136" t="s">
        <v>21</v>
      </c>
      <c r="B136" t="s">
        <v>27</v>
      </c>
      <c r="C136" t="s">
        <v>28</v>
      </c>
    </row>
    <row r="137" spans="1:13" x14ac:dyDescent="0.25">
      <c r="A137" t="s">
        <v>3</v>
      </c>
      <c r="B137" t="s">
        <v>29</v>
      </c>
      <c r="C137">
        <v>18</v>
      </c>
    </row>
    <row r="138" spans="1:13" x14ac:dyDescent="0.25">
      <c r="A138" t="s">
        <v>7</v>
      </c>
      <c r="B138" t="s">
        <v>29</v>
      </c>
      <c r="C138">
        <v>12</v>
      </c>
    </row>
    <row r="139" spans="1:13" x14ac:dyDescent="0.25">
      <c r="A139" t="s">
        <v>11</v>
      </c>
      <c r="B139" t="s">
        <v>29</v>
      </c>
      <c r="C139">
        <v>12</v>
      </c>
      <c r="J139" s="2" t="s">
        <v>68</v>
      </c>
      <c r="K139" t="s">
        <v>74</v>
      </c>
      <c r="L139" t="s">
        <v>75</v>
      </c>
      <c r="M139" t="s">
        <v>76</v>
      </c>
    </row>
    <row r="140" spans="1:13" x14ac:dyDescent="0.25">
      <c r="J140" s="3" t="s">
        <v>56</v>
      </c>
      <c r="K140" s="4">
        <v>72</v>
      </c>
      <c r="L140" s="4">
        <v>65</v>
      </c>
      <c r="M140" s="4">
        <v>70</v>
      </c>
    </row>
    <row r="141" spans="1:13" x14ac:dyDescent="0.25">
      <c r="B141" s="2" t="s">
        <v>68</v>
      </c>
      <c r="C141" t="s">
        <v>70</v>
      </c>
      <c r="J141" s="3" t="s">
        <v>57</v>
      </c>
      <c r="K141" s="4">
        <v>94</v>
      </c>
      <c r="L141" s="4">
        <v>92</v>
      </c>
      <c r="M141" s="4">
        <v>89</v>
      </c>
    </row>
    <row r="142" spans="1:13" x14ac:dyDescent="0.25">
      <c r="B142" s="3" t="s">
        <v>3</v>
      </c>
      <c r="C142" s="4">
        <v>225000</v>
      </c>
      <c r="J142" s="3" t="s">
        <v>54</v>
      </c>
      <c r="K142" s="4">
        <v>85</v>
      </c>
      <c r="L142" s="4">
        <v>78</v>
      </c>
      <c r="M142" s="4">
        <v>82</v>
      </c>
    </row>
    <row r="143" spans="1:13" x14ac:dyDescent="0.25">
      <c r="B143" s="3" t="s">
        <v>7</v>
      </c>
      <c r="C143" s="4">
        <v>135000</v>
      </c>
      <c r="J143" s="3" t="s">
        <v>55</v>
      </c>
      <c r="K143" s="4">
        <v>90</v>
      </c>
      <c r="L143" s="4">
        <v>88</v>
      </c>
      <c r="M143" s="4">
        <v>91</v>
      </c>
    </row>
    <row r="144" spans="1:13" x14ac:dyDescent="0.25">
      <c r="B144" s="3" t="s">
        <v>11</v>
      </c>
      <c r="C144" s="4">
        <v>54000</v>
      </c>
      <c r="J144" s="3" t="s">
        <v>58</v>
      </c>
      <c r="K144" s="4">
        <v>58</v>
      </c>
      <c r="L144" s="4">
        <v>55</v>
      </c>
      <c r="M144" s="4">
        <v>60</v>
      </c>
    </row>
    <row r="145" spans="1:13" x14ac:dyDescent="0.25">
      <c r="B145" s="3" t="s">
        <v>69</v>
      </c>
      <c r="C145" s="4">
        <v>414000</v>
      </c>
      <c r="J145" s="3" t="s">
        <v>69</v>
      </c>
      <c r="K145" s="4">
        <v>399</v>
      </c>
      <c r="L145" s="4">
        <v>378</v>
      </c>
      <c r="M145" s="4">
        <v>392</v>
      </c>
    </row>
    <row r="147" spans="1:13" x14ac:dyDescent="0.25">
      <c r="A147" t="s">
        <v>71</v>
      </c>
    </row>
    <row r="149" spans="1:13" x14ac:dyDescent="0.25">
      <c r="B149" s="2" t="s">
        <v>68</v>
      </c>
      <c r="C149" t="s">
        <v>70</v>
      </c>
    </row>
    <row r="150" spans="1:13" x14ac:dyDescent="0.25">
      <c r="B150" s="3" t="s">
        <v>9</v>
      </c>
      <c r="C150" s="4">
        <v>54000</v>
      </c>
    </row>
    <row r="151" spans="1:13" x14ac:dyDescent="0.25">
      <c r="B151" s="3" t="s">
        <v>1</v>
      </c>
      <c r="C151" s="4">
        <v>150000</v>
      </c>
    </row>
    <row r="152" spans="1:13" x14ac:dyDescent="0.25">
      <c r="B152" s="3" t="s">
        <v>5</v>
      </c>
      <c r="C152" s="4">
        <v>165000</v>
      </c>
    </row>
    <row r="153" spans="1:13" x14ac:dyDescent="0.25">
      <c r="B153" s="3" t="s">
        <v>13</v>
      </c>
      <c r="C153" s="4">
        <v>45000</v>
      </c>
    </row>
    <row r="154" spans="1:13" x14ac:dyDescent="0.25">
      <c r="B154" s="3" t="s">
        <v>69</v>
      </c>
      <c r="C154" s="4">
        <v>414000</v>
      </c>
    </row>
    <row r="156" spans="1:13" x14ac:dyDescent="0.25">
      <c r="A156" t="s">
        <v>72</v>
      </c>
    </row>
    <row r="169" spans="1:4" x14ac:dyDescent="0.25">
      <c r="A169" t="s">
        <v>73</v>
      </c>
    </row>
    <row r="171" spans="1:4" x14ac:dyDescent="0.25">
      <c r="A171" s="2" t="s">
        <v>68</v>
      </c>
      <c r="B171" s="2" t="s">
        <v>74</v>
      </c>
      <c r="C171" t="s">
        <v>75</v>
      </c>
      <c r="D171" t="s">
        <v>76</v>
      </c>
    </row>
    <row r="172" spans="1:4" x14ac:dyDescent="0.25">
      <c r="A172" s="3" t="s">
        <v>56</v>
      </c>
      <c r="B172" s="4">
        <v>72</v>
      </c>
      <c r="C172" s="4">
        <v>65</v>
      </c>
      <c r="D172" s="4">
        <v>70</v>
      </c>
    </row>
    <row r="173" spans="1:4" x14ac:dyDescent="0.25">
      <c r="A173" s="3" t="s">
        <v>57</v>
      </c>
      <c r="B173" s="4">
        <v>94</v>
      </c>
      <c r="C173" s="4">
        <v>92</v>
      </c>
      <c r="D173" s="4">
        <v>89</v>
      </c>
    </row>
    <row r="174" spans="1:4" x14ac:dyDescent="0.25">
      <c r="A174" s="3" t="s">
        <v>54</v>
      </c>
      <c r="B174" s="4">
        <v>85</v>
      </c>
      <c r="C174" s="4">
        <v>78</v>
      </c>
      <c r="D174" s="4">
        <v>82</v>
      </c>
    </row>
    <row r="175" spans="1:4" x14ac:dyDescent="0.25">
      <c r="A175" s="3" t="s">
        <v>55</v>
      </c>
      <c r="B175" s="4">
        <v>90</v>
      </c>
      <c r="C175" s="4">
        <v>88</v>
      </c>
      <c r="D175" s="4">
        <v>91</v>
      </c>
    </row>
    <row r="176" spans="1:4" x14ac:dyDescent="0.25">
      <c r="A176" s="3" t="s">
        <v>58</v>
      </c>
      <c r="B176" s="4">
        <v>58</v>
      </c>
      <c r="C176" s="4">
        <v>55</v>
      </c>
      <c r="D176" s="4">
        <v>60</v>
      </c>
    </row>
    <row r="177" spans="1:4" x14ac:dyDescent="0.25">
      <c r="A177" s="3" t="s">
        <v>69</v>
      </c>
      <c r="B177" s="4">
        <v>399</v>
      </c>
      <c r="C177" s="4">
        <v>378</v>
      </c>
      <c r="D177" s="4">
        <v>392</v>
      </c>
    </row>
    <row r="194" spans="1:2" x14ac:dyDescent="0.25">
      <c r="A194" t="s">
        <v>77</v>
      </c>
    </row>
    <row r="196" spans="1:2" x14ac:dyDescent="0.25">
      <c r="A196" t="s">
        <v>78</v>
      </c>
    </row>
    <row r="197" spans="1:2" x14ac:dyDescent="0.25">
      <c r="A197">
        <f>MEDIAN(D172:D176)</f>
        <v>82</v>
      </c>
    </row>
    <row r="199" spans="1:2" x14ac:dyDescent="0.25">
      <c r="A199" t="s">
        <v>79</v>
      </c>
    </row>
    <row r="201" spans="1:2" x14ac:dyDescent="0.25">
      <c r="A201">
        <f>_xlfn.STDEV.S(B172:B176)</f>
        <v>14.737706741552426</v>
      </c>
      <c r="B201" t="s">
        <v>80</v>
      </c>
    </row>
    <row r="204" spans="1:2" x14ac:dyDescent="0.25">
      <c r="A204" t="s">
        <v>81</v>
      </c>
    </row>
    <row r="206" spans="1:2" x14ac:dyDescent="0.25">
      <c r="A206" t="str">
        <f>_xlfn.CONCAT(A110,B110)</f>
        <v>1Rahul</v>
      </c>
    </row>
    <row r="208" spans="1:2" x14ac:dyDescent="0.25">
      <c r="A208" t="s">
        <v>82</v>
      </c>
    </row>
    <row r="210" spans="1:2" x14ac:dyDescent="0.25">
      <c r="A210" t="str">
        <f>LEFT(C86,2)</f>
        <v>Am</v>
      </c>
    </row>
    <row r="212" spans="1:2" x14ac:dyDescent="0.25">
      <c r="A212" t="s">
        <v>83</v>
      </c>
    </row>
    <row r="214" spans="1:2" x14ac:dyDescent="0.25">
      <c r="A214" t="s">
        <v>25</v>
      </c>
    </row>
    <row r="215" spans="1:2" x14ac:dyDescent="0.25">
      <c r="A215">
        <v>90000</v>
      </c>
    </row>
    <row r="216" spans="1:2" x14ac:dyDescent="0.25">
      <c r="A216">
        <v>75000</v>
      </c>
    </row>
    <row r="217" spans="1:2" x14ac:dyDescent="0.25">
      <c r="A217">
        <v>54000</v>
      </c>
    </row>
    <row r="218" spans="1:2" x14ac:dyDescent="0.25">
      <c r="A218">
        <v>45000</v>
      </c>
    </row>
    <row r="219" spans="1:2" x14ac:dyDescent="0.25">
      <c r="A219">
        <v>60000</v>
      </c>
    </row>
    <row r="220" spans="1:2" x14ac:dyDescent="0.25">
      <c r="A220">
        <v>90000</v>
      </c>
    </row>
    <row r="222" spans="1:2" x14ac:dyDescent="0.25">
      <c r="A222" t="s">
        <v>84</v>
      </c>
    </row>
    <row r="223" spans="1:2" x14ac:dyDescent="0.25">
      <c r="A223" t="s">
        <v>21</v>
      </c>
      <c r="B223" t="s">
        <v>22</v>
      </c>
    </row>
    <row r="224" spans="1:2" x14ac:dyDescent="0.25">
      <c r="A224" t="s">
        <v>3</v>
      </c>
      <c r="B224">
        <v>2</v>
      </c>
    </row>
    <row r="225" spans="1:2" hidden="1" x14ac:dyDescent="0.25">
      <c r="A225" t="s">
        <v>7</v>
      </c>
      <c r="B225">
        <v>5</v>
      </c>
    </row>
    <row r="226" spans="1:2" hidden="1" x14ac:dyDescent="0.25">
      <c r="A226" t="s">
        <v>11</v>
      </c>
      <c r="B226">
        <v>3</v>
      </c>
    </row>
    <row r="227" spans="1:2" hidden="1" x14ac:dyDescent="0.25">
      <c r="A227" t="s">
        <v>3</v>
      </c>
      <c r="B227">
        <v>1</v>
      </c>
    </row>
    <row r="228" spans="1:2" hidden="1" x14ac:dyDescent="0.25">
      <c r="A228" t="s">
        <v>7</v>
      </c>
      <c r="B228">
        <v>4</v>
      </c>
    </row>
    <row r="229" spans="1:2" x14ac:dyDescent="0.25">
      <c r="A229" t="s">
        <v>3</v>
      </c>
      <c r="B229">
        <v>2</v>
      </c>
    </row>
    <row r="232" spans="1:2" x14ac:dyDescent="0.25">
      <c r="A232" t="s">
        <v>85</v>
      </c>
    </row>
    <row r="234" spans="1:2" x14ac:dyDescent="0.25">
      <c r="A234" t="s">
        <v>3</v>
      </c>
      <c r="B234">
        <f>COUNTIF(B2:I8, "North")</f>
        <v>2</v>
      </c>
    </row>
    <row r="236" spans="1:2" x14ac:dyDescent="0.25">
      <c r="A236" t="s">
        <v>86</v>
      </c>
    </row>
    <row r="237" spans="1:2" x14ac:dyDescent="0.25">
      <c r="A237" t="s">
        <v>23</v>
      </c>
    </row>
    <row r="238" spans="1:2" x14ac:dyDescent="0.25">
      <c r="A238">
        <v>45000</v>
      </c>
      <c r="B238" cm="1">
        <f t="array" ref="B238:B243">ROUND(A238:A243, 0)</f>
        <v>45000</v>
      </c>
    </row>
    <row r="239" spans="1:2" x14ac:dyDescent="0.25">
      <c r="A239">
        <v>15000</v>
      </c>
      <c r="B239">
        <v>15000</v>
      </c>
    </row>
    <row r="240" spans="1:2" x14ac:dyDescent="0.25">
      <c r="A240">
        <v>18000</v>
      </c>
      <c r="B240">
        <v>18000</v>
      </c>
    </row>
    <row r="241" spans="1:3" x14ac:dyDescent="0.25">
      <c r="A241">
        <v>45000</v>
      </c>
      <c r="B241">
        <v>45000</v>
      </c>
    </row>
    <row r="242" spans="1:3" x14ac:dyDescent="0.25">
      <c r="A242">
        <v>15000</v>
      </c>
      <c r="B242">
        <v>15000</v>
      </c>
    </row>
    <row r="243" spans="1:3" x14ac:dyDescent="0.25">
      <c r="A243">
        <v>45000</v>
      </c>
      <c r="B243">
        <v>45000</v>
      </c>
    </row>
    <row r="246" spans="1:3" x14ac:dyDescent="0.25">
      <c r="A246" t="s">
        <v>87</v>
      </c>
    </row>
    <row r="248" spans="1:3" x14ac:dyDescent="0.25">
      <c r="A248" t="s">
        <v>18</v>
      </c>
      <c r="C248" t="s">
        <v>20</v>
      </c>
    </row>
    <row r="249" spans="1:3" x14ac:dyDescent="0.25">
      <c r="A249">
        <v>301</v>
      </c>
      <c r="C249" t="s">
        <v>2</v>
      </c>
    </row>
    <row r="250" spans="1:3" x14ac:dyDescent="0.25">
      <c r="A250">
        <v>302</v>
      </c>
      <c r="C250" t="s">
        <v>6</v>
      </c>
    </row>
    <row r="251" spans="1:3" x14ac:dyDescent="0.25">
      <c r="A251">
        <v>303</v>
      </c>
      <c r="C251" t="s">
        <v>10</v>
      </c>
    </row>
    <row r="252" spans="1:3" x14ac:dyDescent="0.25">
      <c r="A252">
        <v>304</v>
      </c>
      <c r="C252" t="s">
        <v>14</v>
      </c>
    </row>
    <row r="253" spans="1:3" x14ac:dyDescent="0.25">
      <c r="A253">
        <v>305</v>
      </c>
    </row>
    <row r="254" spans="1:3" x14ac:dyDescent="0.25">
      <c r="A254">
        <v>306</v>
      </c>
    </row>
    <row r="256" spans="1:3" x14ac:dyDescent="0.25">
      <c r="A256" t="s">
        <v>88</v>
      </c>
    </row>
    <row r="258" spans="1:9" x14ac:dyDescent="0.25">
      <c r="A258" t="s">
        <v>18</v>
      </c>
      <c r="B258" t="s">
        <v>19</v>
      </c>
      <c r="C258" t="s">
        <v>20</v>
      </c>
      <c r="D258" t="s">
        <v>21</v>
      </c>
      <c r="E258" t="s">
        <v>22</v>
      </c>
      <c r="F258" t="s">
        <v>23</v>
      </c>
      <c r="G258" t="s">
        <v>24</v>
      </c>
      <c r="I258" t="s">
        <v>45</v>
      </c>
    </row>
    <row r="259" spans="1:9" x14ac:dyDescent="0.25">
      <c r="A259">
        <v>301</v>
      </c>
      <c r="B259" t="s">
        <v>1</v>
      </c>
      <c r="C259" t="s">
        <v>2</v>
      </c>
      <c r="D259" t="s">
        <v>3</v>
      </c>
      <c r="E259">
        <v>2</v>
      </c>
      <c r="F259">
        <v>45000</v>
      </c>
      <c r="G259" t="s">
        <v>4</v>
      </c>
      <c r="I259" t="str">
        <f>TEXT(H259,"mmm")</f>
        <v>Jan</v>
      </c>
    </row>
    <row r="260" spans="1:9" x14ac:dyDescent="0.25">
      <c r="A260">
        <v>302</v>
      </c>
      <c r="B260" t="s">
        <v>5</v>
      </c>
      <c r="C260" t="s">
        <v>6</v>
      </c>
      <c r="D260" t="s">
        <v>7</v>
      </c>
      <c r="E260">
        <v>5</v>
      </c>
      <c r="F260">
        <v>15000</v>
      </c>
      <c r="G260" t="s">
        <v>8</v>
      </c>
      <c r="I260" t="str">
        <f t="shared" ref="I260:I264" si="13">TEXT(G260,"mmm")</f>
        <v>Jan</v>
      </c>
    </row>
    <row r="261" spans="1:9" x14ac:dyDescent="0.25">
      <c r="A261">
        <v>303</v>
      </c>
      <c r="B261" t="s">
        <v>9</v>
      </c>
      <c r="C261" t="s">
        <v>10</v>
      </c>
      <c r="D261" t="s">
        <v>11</v>
      </c>
      <c r="E261">
        <v>3</v>
      </c>
      <c r="F261">
        <v>18000</v>
      </c>
      <c r="G261" t="s">
        <v>12</v>
      </c>
      <c r="I261" t="str">
        <f t="shared" si="13"/>
        <v>Jan</v>
      </c>
    </row>
    <row r="262" spans="1:9" x14ac:dyDescent="0.25">
      <c r="A262">
        <v>304</v>
      </c>
      <c r="B262" t="s">
        <v>13</v>
      </c>
      <c r="C262" t="s">
        <v>14</v>
      </c>
      <c r="D262" t="s">
        <v>3</v>
      </c>
      <c r="E262">
        <v>1</v>
      </c>
      <c r="F262">
        <v>45000</v>
      </c>
      <c r="G262" t="s">
        <v>15</v>
      </c>
      <c r="I262" t="str">
        <f t="shared" si="13"/>
        <v>Jan</v>
      </c>
    </row>
    <row r="263" spans="1:9" x14ac:dyDescent="0.25">
      <c r="A263">
        <v>305</v>
      </c>
      <c r="B263" t="s">
        <v>1</v>
      </c>
      <c r="C263" t="s">
        <v>2</v>
      </c>
      <c r="D263" t="s">
        <v>7</v>
      </c>
      <c r="E263">
        <v>4</v>
      </c>
      <c r="F263">
        <v>15000</v>
      </c>
      <c r="G263" t="s">
        <v>16</v>
      </c>
      <c r="I263" t="str">
        <f t="shared" si="13"/>
        <v>Jan</v>
      </c>
    </row>
    <row r="264" spans="1:9" x14ac:dyDescent="0.25">
      <c r="A264">
        <v>306</v>
      </c>
      <c r="B264" t="s">
        <v>5</v>
      </c>
      <c r="C264" t="s">
        <v>6</v>
      </c>
      <c r="D264" t="s">
        <v>3</v>
      </c>
      <c r="E264">
        <v>2</v>
      </c>
      <c r="F264">
        <v>45000</v>
      </c>
      <c r="G264" t="s">
        <v>17</v>
      </c>
      <c r="I264" t="str">
        <f t="shared" si="13"/>
        <v>Jan</v>
      </c>
    </row>
    <row r="266" spans="1:9" x14ac:dyDescent="0.25">
      <c r="A266" t="s">
        <v>89</v>
      </c>
    </row>
    <row r="268" spans="1:9" x14ac:dyDescent="0.25">
      <c r="A268" t="s">
        <v>48</v>
      </c>
      <c r="B268" t="s">
        <v>49</v>
      </c>
      <c r="C268" t="s">
        <v>50</v>
      </c>
      <c r="D268" t="s">
        <v>51</v>
      </c>
      <c r="E268" t="s">
        <v>52</v>
      </c>
      <c r="F268" t="s">
        <v>53</v>
      </c>
    </row>
    <row r="269" spans="1:9" x14ac:dyDescent="0.25">
      <c r="A269">
        <v>1</v>
      </c>
      <c r="B269" t="s">
        <v>54</v>
      </c>
      <c r="C269">
        <v>78</v>
      </c>
      <c r="D269">
        <v>82</v>
      </c>
      <c r="E269">
        <v>85</v>
      </c>
      <c r="F269">
        <v>92</v>
      </c>
    </row>
    <row r="270" spans="1:9" x14ac:dyDescent="0.25">
      <c r="A270">
        <v>2</v>
      </c>
      <c r="B270" t="s">
        <v>55</v>
      </c>
      <c r="C270">
        <v>88</v>
      </c>
      <c r="D270">
        <v>91</v>
      </c>
      <c r="E270">
        <v>90</v>
      </c>
      <c r="F270">
        <v>96</v>
      </c>
    </row>
    <row r="271" spans="1:9" x14ac:dyDescent="0.25">
      <c r="A271">
        <v>3</v>
      </c>
      <c r="B271" t="s">
        <v>56</v>
      </c>
      <c r="C271">
        <v>65</v>
      </c>
      <c r="D271">
        <v>70</v>
      </c>
      <c r="E271">
        <v>72</v>
      </c>
      <c r="F271">
        <v>85</v>
      </c>
    </row>
    <row r="272" spans="1:9" x14ac:dyDescent="0.25">
      <c r="A272">
        <v>4</v>
      </c>
      <c r="B272" t="s">
        <v>57</v>
      </c>
      <c r="C272">
        <v>92</v>
      </c>
      <c r="D272">
        <v>89</v>
      </c>
      <c r="E272">
        <v>94</v>
      </c>
      <c r="F272">
        <v>98</v>
      </c>
    </row>
    <row r="273" spans="1:6" x14ac:dyDescent="0.25">
      <c r="A273">
        <v>5</v>
      </c>
      <c r="B273" t="s">
        <v>58</v>
      </c>
      <c r="C273">
        <v>55</v>
      </c>
      <c r="D273">
        <v>60</v>
      </c>
      <c r="E273">
        <v>58</v>
      </c>
      <c r="F273">
        <v>80</v>
      </c>
    </row>
  </sheetData>
  <sheetProtection algorithmName="SHA-512" hashValue="et0Ge7AyYfN1qzbeUug/ZVCFtDXTrItyGsaZMlKzSqYeIrr/JtvhDrMVhUF6lllmt/lDtuqBBM/kZPs65L2ZMA==" saltValue="9rZulWRRAWzxCETVVDNBCQ==" spinCount="100000" sheet="1" objects="1" scenarios="1"/>
  <autoFilter ref="A223:B229" xr:uid="{692D5FAA-148C-4B9F-8603-D8EB3A3409F2}">
    <filterColumn colId="0">
      <filters>
        <filter val="Laptop"/>
      </filters>
    </filterColumn>
    <filterColumn colId="1">
      <filters>
        <filter val="2"/>
      </filters>
    </filterColumn>
  </autoFilter>
  <sortState xmlns:xlrd2="http://schemas.microsoft.com/office/spreadsheetml/2017/richdata2" ref="A28:D34">
    <sortCondition descending="1" ref="D28:D34"/>
  </sortState>
  <conditionalFormatting sqref="A214:A220">
    <cfRule type="cellIs" dxfId="1" priority="2" operator="greaterThan">
      <formula>60000</formula>
    </cfRule>
  </conditionalFormatting>
  <conditionalFormatting sqref="C248:C252">
    <cfRule type="duplicateValues" dxfId="0" priority="1"/>
  </conditionalFormatting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ASDC50</dc:creator>
  <cp:lastModifiedBy>sameer7144@outlook.com</cp:lastModifiedBy>
  <dcterms:created xsi:type="dcterms:W3CDTF">2026-07-07T08:57:02Z</dcterms:created>
  <dcterms:modified xsi:type="dcterms:W3CDTF">2026-07-07T12:32:51Z</dcterms:modified>
</cp:coreProperties>
</file>